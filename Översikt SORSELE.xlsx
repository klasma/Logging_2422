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46220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46220</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46220</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46220</v>
      </c>
      <c r="F5" t="inlineStr">
        <is>
          <t>VÄSTERBOTTENS LÄN</t>
        </is>
      </c>
      <c r="G5" t="inlineStr">
        <is>
          <t>SORSELE</t>
        </is>
      </c>
      <c r="I5" t="n">
        <v>45.3</v>
      </c>
      <c r="J5" t="n">
        <v>3</v>
      </c>
      <c r="K5" t="n">
        <v>6</v>
      </c>
      <c r="L5" t="n">
        <v>11</v>
      </c>
      <c r="M5" t="n">
        <v>2</v>
      </c>
      <c r="N5" t="n">
        <v>0</v>
      </c>
      <c r="O5" t="n">
        <v>0</v>
      </c>
      <c r="P5" t="n">
        <v>0</v>
      </c>
      <c r="Q5" t="n">
        <v>13</v>
      </c>
      <c r="R5" t="n">
        <v>2</v>
      </c>
      <c r="S5" t="n">
        <v>21</v>
      </c>
      <c r="T5" t="n">
        <v>22</v>
      </c>
      <c r="U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
        <f>HYPERLINK("https://klasma.github.io/Logging_2422/artfynd/A 10060-2022 artfynd.xlsx", "A 10060-2022")</f>
        <v/>
      </c>
      <c r="W5">
        <f>HYPERLINK("https://klasma.github.io/Logging_2422/kartor/A 10060-2022 karta.png", "A 10060-2022")</f>
        <v/>
      </c>
      <c r="Y5">
        <f>HYPERLINK("https://klasma.github.io/Logging_2422/klagomål/A 10060-2022 FSC-klagomål.docx", "A 10060-2022")</f>
        <v/>
      </c>
      <c r="Z5">
        <f>HYPERLINK("https://klasma.github.io/Logging_2422/klagomålsmail/A 10060-2022 FSC-klagomål mail.docx", "A 10060-2022")</f>
        <v/>
      </c>
      <c r="AA5">
        <f>HYPERLINK("https://klasma.github.io/Logging_2422/tillsyn/A 10060-2022 tillsynsbegäran.docx", "A 10060-2022")</f>
        <v/>
      </c>
      <c r="AB5">
        <f>HYPERLINK("https://klasma.github.io/Logging_2422/tillsynsmail/A 10060-2022 tillsynsbegäran mail.docx", "A 10060-2022")</f>
        <v/>
      </c>
      <c r="AC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46220</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
        <f>HYPERLINK("https://klasma.github.io/Logging_2422/artfynd/A 29866-2023 artfynd.xlsx", "A 29866-2023")</f>
        <v/>
      </c>
      <c r="W6">
        <f>HYPERLINK("https://klasma.github.io/Logging_2422/kartor/A 29866-2023 karta.png", "A 29866-2023")</f>
        <v/>
      </c>
      <c r="Y6">
        <f>HYPERLINK("https://klasma.github.io/Logging_2422/klagomål/A 29866-2023 FSC-klagomål.docx", "A 29866-2023")</f>
        <v/>
      </c>
      <c r="Z6">
        <f>HYPERLINK("https://klasma.github.io/Logging_2422/klagomålsmail/A 29866-2023 FSC-klagomål mail.docx", "A 29866-2023")</f>
        <v/>
      </c>
      <c r="AA6">
        <f>HYPERLINK("https://klasma.github.io/Logging_2422/tillsyn/A 29866-2023 tillsynsbegäran.docx", "A 29866-2023")</f>
        <v/>
      </c>
      <c r="AB6">
        <f>HYPERLINK("https://klasma.github.io/Logging_2422/tillsynsmail/A 29866-2023 tillsynsbegäran mail.docx", "A 29866-2023")</f>
        <v/>
      </c>
      <c r="AC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46220</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s="2" t="inlineStr">
        <is>
          <t>Garnlav
Ostticka
Dvärgbägarlav
Gammelgransskål
Harticka
Knottrig blåslav
Lavskrika
Lunglav
Skrovellav
Talltita
Tretåig hackspett
Ullticka
Vedskivlav
Vitgrynig nållav
Stuplav
Ögonpyrola
Järpe
Nordisk stormhatt
Tjäder</t>
        </is>
      </c>
      <c r="V7">
        <f>HYPERLINK("https://klasma.github.io/Logging_2422/artfynd/A 29840-2026 artfynd.xlsx", "A 29840-2026")</f>
        <v/>
      </c>
      <c r="W7">
        <f>HYPERLINK("https://klasma.github.io/Logging_2422/kartor/A 29840-2026 karta.png", "A 29840-2026")</f>
        <v/>
      </c>
      <c r="Y7">
        <f>HYPERLINK("https://klasma.github.io/Logging_2422/klagomål/A 29840-2026 FSC-klagomål.docx", "A 29840-2026")</f>
        <v/>
      </c>
      <c r="Z7">
        <f>HYPERLINK("https://klasma.github.io/Logging_2422/klagomålsmail/A 29840-2026 FSC-klagomål mail.docx", "A 29840-2026")</f>
        <v/>
      </c>
      <c r="AA7">
        <f>HYPERLINK("https://klasma.github.io/Logging_2422/tillsyn/A 29840-2026 tillsynsbegäran.docx", "A 29840-2026")</f>
        <v/>
      </c>
      <c r="AB7">
        <f>HYPERLINK("https://klasma.github.io/Logging_2422/tillsynsmail/A 29840-2026 tillsynsbegäran mail.docx", "A 29840-2026")</f>
        <v/>
      </c>
      <c r="AC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46220</v>
      </c>
      <c r="F8" t="inlineStr">
        <is>
          <t>VÄSTERBOTTENS LÄN</t>
        </is>
      </c>
      <c r="G8" t="inlineStr">
        <is>
          <t>SORSELE</t>
        </is>
      </c>
      <c r="I8" t="n">
        <v>14.6</v>
      </c>
      <c r="J8" t="n">
        <v>1</v>
      </c>
      <c r="K8" t="n">
        <v>3</v>
      </c>
      <c r="L8" t="n">
        <v>10</v>
      </c>
      <c r="M8" t="n">
        <v>4</v>
      </c>
      <c r="N8" t="n">
        <v>0</v>
      </c>
      <c r="O8" t="n">
        <v>0</v>
      </c>
      <c r="P8" t="n">
        <v>0</v>
      </c>
      <c r="Q8" t="n">
        <v>14</v>
      </c>
      <c r="R8" t="n">
        <v>4</v>
      </c>
      <c r="S8" t="n">
        <v>17</v>
      </c>
      <c r="T8" t="n">
        <v>100</v>
      </c>
      <c r="U8" s="2" t="inlineStr">
        <is>
          <t>Garnlav
Grantickeporing
Gränsticka
Vitskaftad svartspik
Gammelgransskål
Harticka
Knottrig blåslav
Lunglav
Rosenticka
Rynkskinn
Rödbrun blekspik
Tretåig hackspett
Ullticka
Vitgrynig nållav
Gulnål
Stuplav
Trådticka</t>
        </is>
      </c>
      <c r="V8">
        <f>HYPERLINK("https://klasma.github.io/Logging_2422/artfynd/A 50909-2022 artfynd.xlsx", "A 50909-2022")</f>
        <v/>
      </c>
      <c r="W8">
        <f>HYPERLINK("https://klasma.github.io/Logging_2422/kartor/A 50909-2022 karta.png", "A 50909-2022")</f>
        <v/>
      </c>
      <c r="Y8">
        <f>HYPERLINK("https://klasma.github.io/Logging_2422/klagomål/A 50909-2022 FSC-klagomål.docx", "A 50909-2022")</f>
        <v/>
      </c>
      <c r="Z8">
        <f>HYPERLINK("https://klasma.github.io/Logging_2422/klagomålsmail/A 50909-2022 FSC-klagomål mail.docx", "A 50909-2022")</f>
        <v/>
      </c>
      <c r="AA8">
        <f>HYPERLINK("https://klasma.github.io/Logging_2422/tillsyn/A 50909-2022 tillsynsbegäran.docx", "A 50909-2022")</f>
        <v/>
      </c>
      <c r="AB8">
        <f>HYPERLINK("https://klasma.github.io/Logging_2422/tillsynsmail/A 50909-2022 tillsynsbegäran mail.docx", "A 50909-2022")</f>
        <v/>
      </c>
      <c r="AC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46220</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s="2" t="inlineStr">
        <is>
          <t>Garnlav
Gränsticka
Knärot
Ostticka
Vitskaftad svartspik
Blanksvart spiklav
Brunpudrad nållav
Gammelgransskål
Harticka
Knottrig blåslav
Rosenticka
Rynkskinn
Rödbrun blekspik
Ullticka
Vitgrynig nållav
Järpe</t>
        </is>
      </c>
      <c r="V9">
        <f>HYPERLINK("https://klasma.github.io/Logging_2422/artfynd/A 50952-2024 artfynd.xlsx", "A 50952-2024")</f>
        <v/>
      </c>
      <c r="W9">
        <f>HYPERLINK("https://klasma.github.io/Logging_2422/kartor/A 50952-2024 karta.png", "A 50952-2024")</f>
        <v/>
      </c>
      <c r="X9">
        <f>HYPERLINK("https://klasma.github.io/Logging_2422/knärot/A 50952-2024 karta knärot.png", "A 50952-2024")</f>
        <v/>
      </c>
      <c r="Y9">
        <f>HYPERLINK("https://klasma.github.io/Logging_2422/klagomål/A 50952-2024 FSC-klagomål.docx", "A 50952-2024")</f>
        <v/>
      </c>
      <c r="Z9">
        <f>HYPERLINK("https://klasma.github.io/Logging_2422/klagomålsmail/A 50952-2024 FSC-klagomål mail.docx", "A 50952-2024")</f>
        <v/>
      </c>
      <c r="AA9">
        <f>HYPERLINK("https://klasma.github.io/Logging_2422/tillsyn/A 50952-2024 tillsynsbegäran.docx", "A 50952-2024")</f>
        <v/>
      </c>
      <c r="AB9">
        <f>HYPERLINK("https://klasma.github.io/Logging_2422/tillsynsmail/A 50952-2024 tillsynsbegäran mail.docx", "A 50952-2024")</f>
        <v/>
      </c>
      <c r="AC9">
        <f>HYPERLINK("https://klasma.github.io/Logging_2422/fåglar/A 50952-2024 prioriterade fågelarter.docx", "A 50952-2024")</f>
        <v/>
      </c>
    </row>
    <row r="10" ht="15" customHeight="1">
      <c r="A10" t="inlineStr">
        <is>
          <t>A 42138-2021</t>
        </is>
      </c>
      <c r="B10" t="inlineStr">
        <is>
          <t>avverkningsanmälan</t>
        </is>
      </c>
      <c r="C10" t="inlineStr">
        <is>
          <t>Föryngringsavverkning</t>
        </is>
      </c>
      <c r="D10" s="1" t="n">
        <v>44426</v>
      </c>
      <c r="E10" s="1" t="n">
        <v>46220</v>
      </c>
      <c r="F10" t="inlineStr">
        <is>
          <t>VÄSTERBOTTENS LÄN</t>
        </is>
      </c>
      <c r="G10" t="inlineStr">
        <is>
          <t>SORSELE</t>
        </is>
      </c>
      <c r="I10" t="n">
        <v>20</v>
      </c>
      <c r="J10" t="n">
        <v>3</v>
      </c>
      <c r="K10" t="n">
        <v>6</v>
      </c>
      <c r="L10" t="n">
        <v>7</v>
      </c>
      <c r="M10" t="n">
        <v>0</v>
      </c>
      <c r="N10" t="n">
        <v>0</v>
      </c>
      <c r="O10" t="n">
        <v>0</v>
      </c>
      <c r="P10" t="n">
        <v>0</v>
      </c>
      <c r="Q10" t="n">
        <v>7</v>
      </c>
      <c r="R10" t="n">
        <v>0</v>
      </c>
      <c r="S10" t="n">
        <v>15</v>
      </c>
      <c r="T10" t="n">
        <v>19</v>
      </c>
      <c r="U10" s="2" t="inlineStr">
        <is>
          <t>Blanksvart spiklav
Dvärgbägarlav
Knottrig blåslav
Rosenticka
Rödbrun blekspik
Tallticka
Talltita
Bårdlav
Luddlav
Norrlandslav
Nästlav
Skinnlav
Stuplav
Tjäder
Revlummer</t>
        </is>
      </c>
      <c r="V10">
        <f>HYPERLINK("https://klasma.github.io/Logging_2422/artfynd/A 42138-2021 artfynd.xlsx", "A 42138-2021")</f>
        <v/>
      </c>
      <c r="W10">
        <f>HYPERLINK("https://klasma.github.io/Logging_2422/kartor/A 42138-2021 karta.png", "A 42138-2021")</f>
        <v/>
      </c>
      <c r="Y10">
        <f>HYPERLINK("https://klasma.github.io/Logging_2422/klagomål/A 42138-2021 FSC-klagomål.docx", "A 42138-2021")</f>
        <v/>
      </c>
      <c r="Z10">
        <f>HYPERLINK("https://klasma.github.io/Logging_2422/klagomålsmail/A 42138-2021 FSC-klagomål mail.docx", "A 42138-2021")</f>
        <v/>
      </c>
      <c r="AA10">
        <f>HYPERLINK("https://klasma.github.io/Logging_2422/tillsyn/A 42138-2021 tillsynsbegäran.docx", "A 42138-2021")</f>
        <v/>
      </c>
      <c r="AB10">
        <f>HYPERLINK("https://klasma.github.io/Logging_2422/tillsynsmail/A 42138-2021 tillsynsbegäran mail.docx", "A 42138-2021")</f>
        <v/>
      </c>
      <c r="AC10">
        <f>HYPERLINK("https://klasma.github.io/Logging_2422/fåglar/A 42138-2021 prioriterade fågelarter.docx", "A 42138-2021")</f>
        <v/>
      </c>
    </row>
    <row r="11" ht="15" customHeight="1">
      <c r="A11" t="inlineStr">
        <is>
          <t>A 43267-2021</t>
        </is>
      </c>
      <c r="B11" t="inlineStr">
        <is>
          <t>avverkningsanmälan</t>
        </is>
      </c>
      <c r="C11" t="inlineStr">
        <is>
          <t>Föryngringsavverkning</t>
        </is>
      </c>
      <c r="D11" s="1" t="n">
        <v>44432</v>
      </c>
      <c r="E11" s="1" t="n">
        <v>46220</v>
      </c>
      <c r="F11" t="inlineStr">
        <is>
          <t>VÄSTERBOTTENS LÄN</t>
        </is>
      </c>
      <c r="G11" t="inlineStr">
        <is>
          <t>SORSELE</t>
        </is>
      </c>
      <c r="I11" t="n">
        <v>29</v>
      </c>
      <c r="J11" t="n">
        <v>5</v>
      </c>
      <c r="K11" t="n">
        <v>2</v>
      </c>
      <c r="L11" t="n">
        <v>8</v>
      </c>
      <c r="M11" t="n">
        <v>3</v>
      </c>
      <c r="N11" t="n">
        <v>0</v>
      </c>
      <c r="O11" t="n">
        <v>0</v>
      </c>
      <c r="P11" t="n">
        <v>0</v>
      </c>
      <c r="Q11" t="n">
        <v>11</v>
      </c>
      <c r="R11" t="n">
        <v>3</v>
      </c>
      <c r="S11" t="n">
        <v>15</v>
      </c>
      <c r="T11" t="n">
        <v>39</v>
      </c>
      <c r="U11" s="2" t="inlineStr">
        <is>
          <t>Garnlav
Gränsticka
Ostticka
Gammelgransskål
Harticka
Knottrig blåslav
Lavskrika
Rödbrun blekspik
Skrovellav
Tretåig hackspett
Ullticka
Luddlav
Spindelblomster
Spillkråka
Revlummer</t>
        </is>
      </c>
      <c r="V11">
        <f>HYPERLINK("https://klasma.github.io/Logging_2422/artfynd/A 43267-2021 artfynd.xlsx", "A 43267-2021")</f>
        <v/>
      </c>
      <c r="W11">
        <f>HYPERLINK("https://klasma.github.io/Logging_2422/kartor/A 43267-2021 karta.png", "A 43267-2021")</f>
        <v/>
      </c>
      <c r="Y11">
        <f>HYPERLINK("https://klasma.github.io/Logging_2422/klagomål/A 43267-2021 FSC-klagomål.docx", "A 43267-2021")</f>
        <v/>
      </c>
      <c r="Z11">
        <f>HYPERLINK("https://klasma.github.io/Logging_2422/klagomålsmail/A 43267-2021 FSC-klagomål mail.docx", "A 43267-2021")</f>
        <v/>
      </c>
      <c r="AA11">
        <f>HYPERLINK("https://klasma.github.io/Logging_2422/tillsyn/A 43267-2021 tillsynsbegäran.docx", "A 43267-2021")</f>
        <v/>
      </c>
      <c r="AB11">
        <f>HYPERLINK("https://klasma.github.io/Logging_2422/tillsynsmail/A 43267-2021 tillsynsbegäran mail.docx", "A 43267-2021")</f>
        <v/>
      </c>
      <c r="AC11">
        <f>HYPERLINK("https://klasma.github.io/Logging_2422/fåglar/A 43267-2021 prioriterade fågelarter.docx", "A 43267-2021")</f>
        <v/>
      </c>
    </row>
    <row r="12" ht="15" customHeight="1">
      <c r="A12" t="inlineStr">
        <is>
          <t>A 9110-2025</t>
        </is>
      </c>
      <c r="B12" t="inlineStr">
        <is>
          <t>avverkningsanmälan</t>
        </is>
      </c>
      <c r="C12" t="inlineStr">
        <is>
          <t>Föryngringsavverkning</t>
        </is>
      </c>
      <c r="D12" s="1" t="n">
        <v>45713</v>
      </c>
      <c r="E12" s="1" t="n">
        <v>46220</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s="2" t="inlineStr">
        <is>
          <t>Garnlav
Gränsticka
Smalskaftslav
Tajgaskinn
Vitskaftad svartspik
Brunpudrad nållav
Harticka
Knottrig blåslav
Rosenticka
Rynkskinn
Skogsfältmätare
Ullticka
Vitgrynig nållav
Järpe</t>
        </is>
      </c>
      <c r="V12">
        <f>HYPERLINK("https://klasma.github.io/Logging_2422/artfynd/A 9110-2025 artfynd.xlsx", "A 9110-2025")</f>
        <v/>
      </c>
      <c r="W12">
        <f>HYPERLINK("https://klasma.github.io/Logging_2422/kartor/A 9110-2025 karta.png", "A 9110-2025")</f>
        <v/>
      </c>
      <c r="Y12">
        <f>HYPERLINK("https://klasma.github.io/Logging_2422/klagomål/A 9110-2025 FSC-klagomål.docx", "A 9110-2025")</f>
        <v/>
      </c>
      <c r="Z12">
        <f>HYPERLINK("https://klasma.github.io/Logging_2422/klagomålsmail/A 9110-2025 FSC-klagomål mail.docx", "A 9110-2025")</f>
        <v/>
      </c>
      <c r="AA12">
        <f>HYPERLINK("https://klasma.github.io/Logging_2422/tillsyn/A 9110-2025 tillsynsbegäran.docx", "A 9110-2025")</f>
        <v/>
      </c>
      <c r="AB12">
        <f>HYPERLINK("https://klasma.github.io/Logging_2422/tillsynsmail/A 9110-2025 tillsynsbegäran mail.docx", "A 9110-2025")</f>
        <v/>
      </c>
      <c r="AC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46220</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s="2" t="inlineStr">
        <is>
          <t>Garnlav
Dropptaggsvamp
Harticka
Lavskrika
Rosenticka
Skrovellav
Ullticka
Vitgrynig nållav
Korallrot
Skinnlav
Spindelblomster
Stuplav
Ögonpyrola</t>
        </is>
      </c>
      <c r="V13">
        <f>HYPERLINK("https://klasma.github.io/Logging_2422/artfynd/A 57566-2024 artfynd.xlsx", "A 57566-2024")</f>
        <v/>
      </c>
      <c r="W13">
        <f>HYPERLINK("https://klasma.github.io/Logging_2422/kartor/A 57566-2024 karta.png", "A 57566-2024")</f>
        <v/>
      </c>
      <c r="Y13">
        <f>HYPERLINK("https://klasma.github.io/Logging_2422/klagomål/A 57566-2024 FSC-klagomål.docx", "A 57566-2024")</f>
        <v/>
      </c>
      <c r="Z13">
        <f>HYPERLINK("https://klasma.github.io/Logging_2422/klagomålsmail/A 57566-2024 FSC-klagomål mail.docx", "A 57566-2024")</f>
        <v/>
      </c>
      <c r="AA13">
        <f>HYPERLINK("https://klasma.github.io/Logging_2422/tillsyn/A 57566-2024 tillsynsbegäran.docx", "A 57566-2024")</f>
        <v/>
      </c>
      <c r="AB13">
        <f>HYPERLINK("https://klasma.github.io/Logging_2422/tillsynsmail/A 57566-2024 tillsynsbegäran mail.docx", "A 57566-2024")</f>
        <v/>
      </c>
      <c r="AC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46220</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s="2" t="inlineStr">
        <is>
          <t>Garnlav
Gräddporing
Mörk kolflarnlav
Nordtagging
Skrovellav
Tallticka
Tretåig hackspett
Vedskivlav
Stuplav
Ögonpyrola
Brudborste
Nordisk stormhatt
Ormbär</t>
        </is>
      </c>
      <c r="V14">
        <f>HYPERLINK("https://klasma.github.io/Logging_2422/artfynd/A 26973-2026 artfynd.xlsx", "A 26973-2026")</f>
        <v/>
      </c>
      <c r="W14">
        <f>HYPERLINK("https://klasma.github.io/Logging_2422/kartor/A 26973-2026 karta.png", "A 26973-2026")</f>
        <v/>
      </c>
      <c r="Y14">
        <f>HYPERLINK("https://klasma.github.io/Logging_2422/klagomål/A 26973-2026 FSC-klagomål.docx", "A 26973-2026")</f>
        <v/>
      </c>
      <c r="Z14">
        <f>HYPERLINK("https://klasma.github.io/Logging_2422/klagomålsmail/A 26973-2026 FSC-klagomål mail.docx", "A 26973-2026")</f>
        <v/>
      </c>
      <c r="AA14">
        <f>HYPERLINK("https://klasma.github.io/Logging_2422/tillsyn/A 26973-2026 tillsynsbegäran.docx", "A 26973-2026")</f>
        <v/>
      </c>
      <c r="AB14">
        <f>HYPERLINK("https://klasma.github.io/Logging_2422/tillsynsmail/A 26973-2026 tillsynsbegäran mail.docx", "A 26973-2026")</f>
        <v/>
      </c>
      <c r="AC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46220</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s="2" t="inlineStr">
        <is>
          <t>Garnlav
Gränsticka
Ostticka
Doftskinn
Gammelgransskål
Harticka
Rosenticka
Rynkskinn
Ullticka
Vedskivlav
Vitgrynig nållav
Plattlummer</t>
        </is>
      </c>
      <c r="V15">
        <f>HYPERLINK("https://klasma.github.io/Logging_2422/artfynd/A 58496-2024 artfynd.xlsx", "A 58496-2024")</f>
        <v/>
      </c>
      <c r="W15">
        <f>HYPERLINK("https://klasma.github.io/Logging_2422/kartor/A 58496-2024 karta.png", "A 58496-2024")</f>
        <v/>
      </c>
      <c r="Y15">
        <f>HYPERLINK("https://klasma.github.io/Logging_2422/klagomål/A 58496-2024 FSC-klagomål.docx", "A 58496-2024")</f>
        <v/>
      </c>
      <c r="Z15">
        <f>HYPERLINK("https://klasma.github.io/Logging_2422/klagomålsmail/A 58496-2024 FSC-klagomål mail.docx", "A 58496-2024")</f>
        <v/>
      </c>
      <c r="AA15">
        <f>HYPERLINK("https://klasma.github.io/Logging_2422/tillsyn/A 58496-2024 tillsynsbegäran.docx", "A 58496-2024")</f>
        <v/>
      </c>
      <c r="AB15">
        <f>HYPERLINK("https://klasma.github.io/Logging_2422/tillsynsmail/A 58496-2024 tillsynsbegäran mail.docx", "A 58496-2024")</f>
        <v/>
      </c>
    </row>
    <row r="16" ht="15" customHeight="1">
      <c r="A16" t="inlineStr">
        <is>
          <t>A 23935-2025</t>
        </is>
      </c>
      <c r="B16" t="inlineStr">
        <is>
          <t>avverkningsanmälan</t>
        </is>
      </c>
      <c r="C16" t="inlineStr">
        <is>
          <t>Föryngringsavverkning</t>
        </is>
      </c>
      <c r="D16" s="1" t="n">
        <v>45795</v>
      </c>
      <c r="E16" s="1" t="n">
        <v>46220</v>
      </c>
      <c r="F16" t="inlineStr">
        <is>
          <t>VÄSTERBOTTENS LÄN</t>
        </is>
      </c>
      <c r="G16" t="inlineStr">
        <is>
          <t>SORSELE</t>
        </is>
      </c>
      <c r="I16" t="n">
        <v>6.5</v>
      </c>
      <c r="J16" t="n">
        <v>0</v>
      </c>
      <c r="K16" t="n">
        <v>0</v>
      </c>
      <c r="L16" t="n">
        <v>9</v>
      </c>
      <c r="M16" t="n">
        <v>1</v>
      </c>
      <c r="N16" t="n">
        <v>0</v>
      </c>
      <c r="O16" t="n">
        <v>0</v>
      </c>
      <c r="P16" t="n">
        <v>0</v>
      </c>
      <c r="Q16" t="n">
        <v>10</v>
      </c>
      <c r="R16" t="n">
        <v>1</v>
      </c>
      <c r="S16" t="n">
        <v>10</v>
      </c>
      <c r="T16" t="n">
        <v>13</v>
      </c>
      <c r="U16" s="2" t="inlineStr">
        <is>
          <t>Garnlav
Blanksvart spiklav
Blågrå svartspik
Dvärgbägarlav
Gammelgransskål
Talltagel
Vaddporing
Vedflamlav
Vedskivlav
Vitgrynig nållav</t>
        </is>
      </c>
      <c r="V16">
        <f>HYPERLINK("https://klasma.github.io/Logging_2422/artfynd/A 23935-2025 artfynd.xlsx", "A 23935-2025")</f>
        <v/>
      </c>
      <c r="W16">
        <f>HYPERLINK("https://klasma.github.io/Logging_2422/kartor/A 23935-2025 karta.png", "A 23935-2025")</f>
        <v/>
      </c>
      <c r="Y16">
        <f>HYPERLINK("https://klasma.github.io/Logging_2422/klagomål/A 23935-2025 FSC-klagomål.docx", "A 23935-2025")</f>
        <v/>
      </c>
      <c r="Z16">
        <f>HYPERLINK("https://klasma.github.io/Logging_2422/klagomålsmail/A 23935-2025 FSC-klagomål mail.docx", "A 23935-2025")</f>
        <v/>
      </c>
      <c r="AA16">
        <f>HYPERLINK("https://klasma.github.io/Logging_2422/tillsyn/A 23935-2025 tillsynsbegäran.docx", "A 23935-2025")</f>
        <v/>
      </c>
      <c r="AB16">
        <f>HYPERLINK("https://klasma.github.io/Logging_2422/tillsynsmail/A 23935-2025 tillsynsbegäran mail.docx", "A 23935-2025")</f>
        <v/>
      </c>
    </row>
    <row r="17" ht="15" customHeight="1">
      <c r="A17" t="inlineStr">
        <is>
          <t>A 1339-2025</t>
        </is>
      </c>
      <c r="B17" t="inlineStr">
        <is>
          <t>avverkningsanmälan</t>
        </is>
      </c>
      <c r="C17" t="inlineStr">
        <is>
          <t>Föryngringsavverkning</t>
        </is>
      </c>
      <c r="D17" s="1" t="n">
        <v>45667</v>
      </c>
      <c r="E17" s="1" t="n">
        <v>46220</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s="2" t="inlineStr">
        <is>
          <t>Garnlav
Tajgaskinn
Harticka
Knottrig blåslav
Kolflarnlav
Nordtagging
Rosenticka
Vedskivlav
Violmussling
Vitgrynig nållav</t>
        </is>
      </c>
      <c r="V17">
        <f>HYPERLINK("https://klasma.github.io/Logging_2422/artfynd/A 1339-2025 artfynd.xlsx", "A 1339-2025")</f>
        <v/>
      </c>
      <c r="W17">
        <f>HYPERLINK("https://klasma.github.io/Logging_2422/kartor/A 1339-2025 karta.png", "A 1339-2025")</f>
        <v/>
      </c>
      <c r="Y17">
        <f>HYPERLINK("https://klasma.github.io/Logging_2422/klagomål/A 1339-2025 FSC-klagomål.docx", "A 1339-2025")</f>
        <v/>
      </c>
      <c r="Z17">
        <f>HYPERLINK("https://klasma.github.io/Logging_2422/klagomålsmail/A 1339-2025 FSC-klagomål mail.docx", "A 1339-2025")</f>
        <v/>
      </c>
      <c r="AA17">
        <f>HYPERLINK("https://klasma.github.io/Logging_2422/tillsyn/A 1339-2025 tillsynsbegäran.docx", "A 1339-2025")</f>
        <v/>
      </c>
      <c r="AB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46220</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s="2" t="inlineStr">
        <is>
          <t>Garnlav
Vitskaftad svartspik
Harticka
Knottrig blåslav
Rosenticka
Skrovellav
Ullticka
Vitgrynig nållav
Korallrot
Svavelriska</t>
        </is>
      </c>
      <c r="V18">
        <f>HYPERLINK("https://klasma.github.io/Logging_2422/artfynd/A 1324-2025 artfynd.xlsx", "A 1324-2025")</f>
        <v/>
      </c>
      <c r="W18">
        <f>HYPERLINK("https://klasma.github.io/Logging_2422/kartor/A 1324-2025 karta.png", "A 1324-2025")</f>
        <v/>
      </c>
      <c r="Y18">
        <f>HYPERLINK("https://klasma.github.io/Logging_2422/klagomål/A 1324-2025 FSC-klagomål.docx", "A 1324-2025")</f>
        <v/>
      </c>
      <c r="Z18">
        <f>HYPERLINK("https://klasma.github.io/Logging_2422/klagomålsmail/A 1324-2025 FSC-klagomål mail.docx", "A 1324-2025")</f>
        <v/>
      </c>
      <c r="AA18">
        <f>HYPERLINK("https://klasma.github.io/Logging_2422/tillsyn/A 1324-2025 tillsynsbegäran.docx", "A 1324-2025")</f>
        <v/>
      </c>
      <c r="AB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46220</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s="2" t="inlineStr">
        <is>
          <t>Garnlav
Mörk kolflarnlav
Tretåig hackspett
Ullticka
Vedskivlav
Ögonpyrola
Brudborste
Nordisk stormhatt
Ormbär
Spillkråka</t>
        </is>
      </c>
      <c r="V19">
        <f>HYPERLINK("https://klasma.github.io/Logging_2422/artfynd/A 26970-2026 artfynd.xlsx", "A 26970-2026")</f>
        <v/>
      </c>
      <c r="W19">
        <f>HYPERLINK("https://klasma.github.io/Logging_2422/kartor/A 26970-2026 karta.png", "A 26970-2026")</f>
        <v/>
      </c>
      <c r="Y19">
        <f>HYPERLINK("https://klasma.github.io/Logging_2422/klagomål/A 26970-2026 FSC-klagomål.docx", "A 26970-2026")</f>
        <v/>
      </c>
      <c r="Z19">
        <f>HYPERLINK("https://klasma.github.io/Logging_2422/klagomålsmail/A 26970-2026 FSC-klagomål mail.docx", "A 26970-2026")</f>
        <v/>
      </c>
      <c r="AA19">
        <f>HYPERLINK("https://klasma.github.io/Logging_2422/tillsyn/A 26970-2026 tillsynsbegäran.docx", "A 26970-2026")</f>
        <v/>
      </c>
      <c r="AB19">
        <f>HYPERLINK("https://klasma.github.io/Logging_2422/tillsynsmail/A 26970-2026 tillsynsbegäran mail.docx", "A 26970-2026")</f>
        <v/>
      </c>
      <c r="AC19">
        <f>HYPERLINK("https://klasma.github.io/Logging_2422/fåglar/A 26970-2026 prioriterade fågelarter.docx", "A 26970-2026")</f>
        <v/>
      </c>
    </row>
    <row r="20" ht="15" customHeight="1">
      <c r="A20" t="inlineStr">
        <is>
          <t>A 57190-2025</t>
        </is>
      </c>
      <c r="B20" t="inlineStr">
        <is>
          <t>avverkningsanmälan</t>
        </is>
      </c>
      <c r="C20" t="inlineStr">
        <is>
          <t>Föryngringsavverkning</t>
        </is>
      </c>
      <c r="D20" s="1" t="n">
        <v>45979</v>
      </c>
      <c r="E20" s="1" t="n">
        <v>46220</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s="2" t="inlineStr">
        <is>
          <t>Kristallticka
Lappticka
Gammelgransskål
Lunglav
Skrovellav
Ullticka
Bårdlav
Luddlav
Spindelblomster</t>
        </is>
      </c>
      <c r="V20">
        <f>HYPERLINK("https://klasma.github.io/Logging_2422/artfynd/A 57190-2025 artfynd.xlsx", "A 57190-2025")</f>
        <v/>
      </c>
      <c r="W20">
        <f>HYPERLINK("https://klasma.github.io/Logging_2422/kartor/A 57190-2025 karta.png", "A 57190-2025")</f>
        <v/>
      </c>
      <c r="Y20">
        <f>HYPERLINK("https://klasma.github.io/Logging_2422/klagomål/A 57190-2025 FSC-klagomål.docx", "A 57190-2025")</f>
        <v/>
      </c>
      <c r="Z20">
        <f>HYPERLINK("https://klasma.github.io/Logging_2422/klagomålsmail/A 57190-2025 FSC-klagomål mail.docx", "A 57190-2025")</f>
        <v/>
      </c>
      <c r="AA20">
        <f>HYPERLINK("https://klasma.github.io/Logging_2422/tillsyn/A 57190-2025 tillsynsbegäran.docx", "A 57190-2025")</f>
        <v/>
      </c>
      <c r="AB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46220</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s="2" t="inlineStr">
        <is>
          <t>Garnlav
Gränsticka
Vitskaftad svartspik
Knottrig blåslav
Rosenticka
Rynkskinn
Ullticka
Vedflamlav
Vedskivlav</t>
        </is>
      </c>
      <c r="V21">
        <f>HYPERLINK("https://klasma.github.io/Logging_2422/artfynd/A 52336-2024 artfynd.xlsx", "A 52336-2024")</f>
        <v/>
      </c>
      <c r="W21">
        <f>HYPERLINK("https://klasma.github.io/Logging_2422/kartor/A 52336-2024 karta.png", "A 52336-2024")</f>
        <v/>
      </c>
      <c r="Y21">
        <f>HYPERLINK("https://klasma.github.io/Logging_2422/klagomål/A 52336-2024 FSC-klagomål.docx", "A 52336-2024")</f>
        <v/>
      </c>
      <c r="Z21">
        <f>HYPERLINK("https://klasma.github.io/Logging_2422/klagomålsmail/A 52336-2024 FSC-klagomål mail.docx", "A 52336-2024")</f>
        <v/>
      </c>
      <c r="AA21">
        <f>HYPERLINK("https://klasma.github.io/Logging_2422/tillsyn/A 52336-2024 tillsynsbegäran.docx", "A 52336-2024")</f>
        <v/>
      </c>
      <c r="AB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46220</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s="2" t="inlineStr">
        <is>
          <t>Garnlav
Harticka
Lunglav
Tretåig hackspett
Vedskivlav
Stuplav
Spillkråka
Tjäder</t>
        </is>
      </c>
      <c r="V22">
        <f>HYPERLINK("https://klasma.github.io/Logging_2422/artfynd/A 29822-2026 artfynd.xlsx", "A 29822-2026")</f>
        <v/>
      </c>
      <c r="W22">
        <f>HYPERLINK("https://klasma.github.io/Logging_2422/kartor/A 29822-2026 karta.png", "A 29822-2026")</f>
        <v/>
      </c>
      <c r="Y22">
        <f>HYPERLINK("https://klasma.github.io/Logging_2422/klagomål/A 29822-2026 FSC-klagomål.docx", "A 29822-2026")</f>
        <v/>
      </c>
      <c r="Z22">
        <f>HYPERLINK("https://klasma.github.io/Logging_2422/klagomålsmail/A 29822-2026 FSC-klagomål mail.docx", "A 29822-2026")</f>
        <v/>
      </c>
      <c r="AA22">
        <f>HYPERLINK("https://klasma.github.io/Logging_2422/tillsyn/A 29822-2026 tillsynsbegäran.docx", "A 29822-2026")</f>
        <v/>
      </c>
      <c r="AB22">
        <f>HYPERLINK("https://klasma.github.io/Logging_2422/tillsynsmail/A 29822-2026 tillsynsbegäran mail.docx", "A 29822-2026")</f>
        <v/>
      </c>
      <c r="AC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46220</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s="2" t="inlineStr">
        <is>
          <t>Garnlav
Ostticka
Rynkskinn
Rödbrun blekspik
Skrovellav
Ullticka
Vedtrappmossa</t>
        </is>
      </c>
      <c r="V23">
        <f>HYPERLINK("https://klasma.github.io/Logging_2422/artfynd/A 57580-2024 artfynd.xlsx", "A 57580-2024")</f>
        <v/>
      </c>
      <c r="W23">
        <f>HYPERLINK("https://klasma.github.io/Logging_2422/kartor/A 57580-2024 karta.png", "A 57580-2024")</f>
        <v/>
      </c>
      <c r="Y23">
        <f>HYPERLINK("https://klasma.github.io/Logging_2422/klagomål/A 57580-2024 FSC-klagomål.docx", "A 57580-2024")</f>
        <v/>
      </c>
      <c r="Z23">
        <f>HYPERLINK("https://klasma.github.io/Logging_2422/klagomålsmail/A 57580-2024 FSC-klagomål mail.docx", "A 57580-2024")</f>
        <v/>
      </c>
      <c r="AA23">
        <f>HYPERLINK("https://klasma.github.io/Logging_2422/tillsyn/A 57580-2024 tillsynsbegäran.docx", "A 57580-2024")</f>
        <v/>
      </c>
      <c r="AB23">
        <f>HYPERLINK("https://klasma.github.io/Logging_2422/tillsynsmail/A 57580-2024 tillsynsbegäran mail.docx", "A 57580-2024")</f>
        <v/>
      </c>
    </row>
    <row r="24" ht="15" customHeight="1">
      <c r="A24" t="inlineStr">
        <is>
          <t>A 8989-2025</t>
        </is>
      </c>
      <c r="B24" t="inlineStr">
        <is>
          <t>avverkningsanmälan</t>
        </is>
      </c>
      <c r="C24" t="inlineStr">
        <is>
          <t>Föryngringsavverkning</t>
        </is>
      </c>
      <c r="D24" s="1" t="n">
        <v>45713</v>
      </c>
      <c r="E24" s="1" t="n">
        <v>46220</v>
      </c>
      <c r="F24" t="inlineStr">
        <is>
          <t>VÄSTERBOTTENS LÄN</t>
        </is>
      </c>
      <c r="G24" t="inlineStr">
        <is>
          <t>SORSELE</t>
        </is>
      </c>
      <c r="I24" t="n">
        <v>5.4</v>
      </c>
      <c r="J24" t="n">
        <v>4</v>
      </c>
      <c r="K24" t="n">
        <v>0</v>
      </c>
      <c r="L24" t="n">
        <v>3</v>
      </c>
      <c r="M24" t="n">
        <v>1</v>
      </c>
      <c r="N24" t="n">
        <v>0</v>
      </c>
      <c r="O24" t="n">
        <v>0</v>
      </c>
      <c r="P24" t="n">
        <v>0</v>
      </c>
      <c r="Q24" t="n">
        <v>4</v>
      </c>
      <c r="R24" t="n">
        <v>1</v>
      </c>
      <c r="S24" t="n">
        <v>7</v>
      </c>
      <c r="T24" t="n">
        <v>24</v>
      </c>
      <c r="U24" s="2" t="inlineStr">
        <is>
          <t>Fläckporing
Dvärgbägarlav
Knottrig blåslav
Tretåig hackspett
Spillkråka
Tjäder
Revlummer</t>
        </is>
      </c>
      <c r="V24">
        <f>HYPERLINK("https://klasma.github.io/Logging_2422/artfynd/A 8989-2025 artfynd.xlsx", "A 8989-2025")</f>
        <v/>
      </c>
      <c r="W24">
        <f>HYPERLINK("https://klasma.github.io/Logging_2422/kartor/A 8989-2025 karta.png", "A 8989-2025")</f>
        <v/>
      </c>
      <c r="Y24">
        <f>HYPERLINK("https://klasma.github.io/Logging_2422/klagomål/A 8989-2025 FSC-klagomål.docx", "A 8989-2025")</f>
        <v/>
      </c>
      <c r="Z24">
        <f>HYPERLINK("https://klasma.github.io/Logging_2422/klagomålsmail/A 8989-2025 FSC-klagomål mail.docx", "A 8989-2025")</f>
        <v/>
      </c>
      <c r="AA24">
        <f>HYPERLINK("https://klasma.github.io/Logging_2422/tillsyn/A 8989-2025 tillsynsbegäran.docx", "A 8989-2025")</f>
        <v/>
      </c>
      <c r="AB24">
        <f>HYPERLINK("https://klasma.github.io/Logging_2422/tillsynsmail/A 8989-2025 tillsynsbegäran mail.docx", "A 8989-2025")</f>
        <v/>
      </c>
      <c r="AC24">
        <f>HYPERLINK("https://klasma.github.io/Logging_2422/fåglar/A 8989-2025 prioriterade fågelarter.docx", "A 8989-2025")</f>
        <v/>
      </c>
    </row>
    <row r="25" ht="15" customHeight="1">
      <c r="A25" t="inlineStr">
        <is>
          <t>A 45569-2022</t>
        </is>
      </c>
      <c r="B25" t="inlineStr">
        <is>
          <t>avverkningsanmälan</t>
        </is>
      </c>
      <c r="C25" t="inlineStr">
        <is>
          <t>Föryngringsavverkning</t>
        </is>
      </c>
      <c r="D25" s="1" t="n">
        <v>44841</v>
      </c>
      <c r="E25" s="1" t="n">
        <v>46220</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s="2" t="inlineStr">
        <is>
          <t>Gränsticka
Harticka
Bårdlav
Gytterlav
Korallblylav
Strutbräken</t>
        </is>
      </c>
      <c r="V25">
        <f>HYPERLINK("https://klasma.github.io/Logging_2422/artfynd/A 45569-2022 artfynd.xlsx", "A 45569-2022")</f>
        <v/>
      </c>
      <c r="W25">
        <f>HYPERLINK("https://klasma.github.io/Logging_2422/kartor/A 45569-2022 karta.png", "A 45569-2022")</f>
        <v/>
      </c>
      <c r="Y25">
        <f>HYPERLINK("https://klasma.github.io/Logging_2422/klagomål/A 45569-2022 FSC-klagomål.docx", "A 45569-2022")</f>
        <v/>
      </c>
      <c r="Z25">
        <f>HYPERLINK("https://klasma.github.io/Logging_2422/klagomålsmail/A 45569-2022 FSC-klagomål mail.docx", "A 45569-2022")</f>
        <v/>
      </c>
      <c r="AA25">
        <f>HYPERLINK("https://klasma.github.io/Logging_2422/tillsyn/A 45569-2022 tillsynsbegäran.docx", "A 45569-2022")</f>
        <v/>
      </c>
      <c r="AB25">
        <f>HYPERLINK("https://klasma.github.io/Logging_2422/tillsynsmail/A 45569-2022 tillsynsbegäran mail.docx", "A 45569-2022")</f>
        <v/>
      </c>
    </row>
    <row r="26" ht="15" customHeight="1">
      <c r="A26" t="inlineStr">
        <is>
          <t>A 2985-2025</t>
        </is>
      </c>
      <c r="B26" t="inlineStr">
        <is>
          <t>avverkningsanmälan</t>
        </is>
      </c>
      <c r="C26" t="inlineStr">
        <is>
          <t>Föryngringsavverkning</t>
        </is>
      </c>
      <c r="D26" s="1" t="n">
        <v>45678</v>
      </c>
      <c r="E26" s="1" t="n">
        <v>46220</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s="2" t="inlineStr">
        <is>
          <t>Garnlav
Grantickeporing
Vitskaftad svartspik
Gammelgransskål
Rödbrun blekspik
Vitgrynig nållav</t>
        </is>
      </c>
      <c r="V26">
        <f>HYPERLINK("https://klasma.github.io/Logging_2422/artfynd/A 2985-2025 artfynd.xlsx", "A 2985-2025")</f>
        <v/>
      </c>
      <c r="W26">
        <f>HYPERLINK("https://klasma.github.io/Logging_2422/kartor/A 2985-2025 karta.png", "A 2985-2025")</f>
        <v/>
      </c>
      <c r="Y26">
        <f>HYPERLINK("https://klasma.github.io/Logging_2422/klagomål/A 2985-2025 FSC-klagomål.docx", "A 2985-2025")</f>
        <v/>
      </c>
      <c r="Z26">
        <f>HYPERLINK("https://klasma.github.io/Logging_2422/klagomålsmail/A 2985-2025 FSC-klagomål mail.docx", "A 2985-2025")</f>
        <v/>
      </c>
      <c r="AA26">
        <f>HYPERLINK("https://klasma.github.io/Logging_2422/tillsyn/A 2985-2025 tillsynsbegäran.docx", "A 2985-2025")</f>
        <v/>
      </c>
      <c r="AB26">
        <f>HYPERLINK("https://klasma.github.io/Logging_2422/tillsynsmail/A 2985-2025 tillsynsbegäran mail.docx", "A 2985-2025")</f>
        <v/>
      </c>
    </row>
    <row r="27" ht="15" customHeight="1">
      <c r="A27" t="inlineStr">
        <is>
          <t>A 4192-2025</t>
        </is>
      </c>
      <c r="B27" t="inlineStr">
        <is>
          <t>avverkningsanmälan</t>
        </is>
      </c>
      <c r="C27" t="inlineStr">
        <is>
          <t>Föryngringsavverkning</t>
        </is>
      </c>
      <c r="D27" s="1" t="n">
        <v>45685</v>
      </c>
      <c r="E27" s="1" t="n">
        <v>46220</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s="2" t="inlineStr">
        <is>
          <t>Garnlav
Vitskaftad svartspik
Gammelgransskål
Harticka
Rosenticka
Vitgrynig nållav</t>
        </is>
      </c>
      <c r="V27">
        <f>HYPERLINK("https://klasma.github.io/Logging_2422/artfynd/A 4192-2025 artfynd.xlsx", "A 4192-2025")</f>
        <v/>
      </c>
      <c r="W27">
        <f>HYPERLINK("https://klasma.github.io/Logging_2422/kartor/A 4192-2025 karta.png", "A 4192-2025")</f>
        <v/>
      </c>
      <c r="Y27">
        <f>HYPERLINK("https://klasma.github.io/Logging_2422/klagomål/A 4192-2025 FSC-klagomål.docx", "A 4192-2025")</f>
        <v/>
      </c>
      <c r="Z27">
        <f>HYPERLINK("https://klasma.github.io/Logging_2422/klagomålsmail/A 4192-2025 FSC-klagomål mail.docx", "A 4192-2025")</f>
        <v/>
      </c>
      <c r="AA27">
        <f>HYPERLINK("https://klasma.github.io/Logging_2422/tillsyn/A 4192-2025 tillsynsbegäran.docx", "A 4192-2025")</f>
        <v/>
      </c>
      <c r="AB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46220</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s="2" t="inlineStr">
        <is>
          <t>Garnlav
Gränsticka
Liten sotlav
Nordfladdermus
Skrovellav
Tretåig hackspett</t>
        </is>
      </c>
      <c r="V28">
        <f>HYPERLINK("https://klasma.github.io/Logging_2422/artfynd/A 29797-2025 artfynd.xlsx", "A 29797-2025")</f>
        <v/>
      </c>
      <c r="W28">
        <f>HYPERLINK("https://klasma.github.io/Logging_2422/kartor/A 29797-2025 karta.png", "A 29797-2025")</f>
        <v/>
      </c>
      <c r="Y28">
        <f>HYPERLINK("https://klasma.github.io/Logging_2422/klagomål/A 29797-2025 FSC-klagomål.docx", "A 29797-2025")</f>
        <v/>
      </c>
      <c r="Z28">
        <f>HYPERLINK("https://klasma.github.io/Logging_2422/klagomålsmail/A 29797-2025 FSC-klagomål mail.docx", "A 29797-2025")</f>
        <v/>
      </c>
      <c r="AA28">
        <f>HYPERLINK("https://klasma.github.io/Logging_2422/tillsyn/A 29797-2025 tillsynsbegäran.docx", "A 29797-2025")</f>
        <v/>
      </c>
      <c r="AB28">
        <f>HYPERLINK("https://klasma.github.io/Logging_2422/tillsynsmail/A 29797-2025 tillsynsbegäran mail.docx", "A 29797-2025")</f>
        <v/>
      </c>
      <c r="AC28">
        <f>HYPERLINK("https://klasma.github.io/Logging_2422/fåglar/A 29797-2025 prioriterade fågelarter.docx", "A 29797-2025")</f>
        <v/>
      </c>
    </row>
    <row r="29" ht="15" customHeight="1">
      <c r="A29" t="inlineStr">
        <is>
          <t>A 31833-2023</t>
        </is>
      </c>
      <c r="B29" t="inlineStr">
        <is>
          <t>avverkningsanmälan</t>
        </is>
      </c>
      <c r="C29" t="inlineStr">
        <is>
          <t>Föryngringsavverkning</t>
        </is>
      </c>
      <c r="D29" s="1" t="n">
        <v>45106</v>
      </c>
      <c r="E29" s="1" t="n">
        <v>46220</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s="2" t="inlineStr">
        <is>
          <t>Garnlav
Gränsticka
Brunpudrad nållav
Rosenticka
Rödbrun blekspik
Vitgrynig nållav</t>
        </is>
      </c>
      <c r="V29">
        <f>HYPERLINK("https://klasma.github.io/Logging_2422/artfynd/A 31833-2023 artfynd.xlsx", "A 31833-2023")</f>
        <v/>
      </c>
      <c r="W29">
        <f>HYPERLINK("https://klasma.github.io/Logging_2422/kartor/A 31833-2023 karta.png", "A 31833-2023")</f>
        <v/>
      </c>
      <c r="Y29">
        <f>HYPERLINK("https://klasma.github.io/Logging_2422/klagomål/A 31833-2023 FSC-klagomål.docx", "A 31833-2023")</f>
        <v/>
      </c>
      <c r="Z29">
        <f>HYPERLINK("https://klasma.github.io/Logging_2422/klagomålsmail/A 31833-2023 FSC-klagomål mail.docx", "A 31833-2023")</f>
        <v/>
      </c>
      <c r="AA29">
        <f>HYPERLINK("https://klasma.github.io/Logging_2422/tillsyn/A 31833-2023 tillsynsbegäran.docx", "A 31833-2023")</f>
        <v/>
      </c>
      <c r="AB29">
        <f>HYPERLINK("https://klasma.github.io/Logging_2422/tillsynsmail/A 31833-2023 tillsynsbegäran mail.docx", "A 31833-2023")</f>
        <v/>
      </c>
    </row>
    <row r="30" ht="15" customHeight="1">
      <c r="A30" t="inlineStr">
        <is>
          <t>A 58499-2024</t>
        </is>
      </c>
      <c r="B30" t="inlineStr">
        <is>
          <t>avverkningsanmälan</t>
        </is>
      </c>
      <c r="C30" t="inlineStr">
        <is>
          <t>Föryngringsavverkning</t>
        </is>
      </c>
      <c r="D30" s="1" t="n">
        <v>45635</v>
      </c>
      <c r="E30" s="1" t="n">
        <v>46220</v>
      </c>
      <c r="F30" t="inlineStr">
        <is>
          <t>VÄSTERBOTTENS LÄN</t>
        </is>
      </c>
      <c r="G30" t="inlineStr">
        <is>
          <t>SORSELE</t>
        </is>
      </c>
      <c r="I30" t="n">
        <v>6</v>
      </c>
      <c r="J30" t="n">
        <v>0</v>
      </c>
      <c r="K30" t="n">
        <v>0</v>
      </c>
      <c r="L30" t="n">
        <v>3</v>
      </c>
      <c r="M30" t="n">
        <v>2</v>
      </c>
      <c r="N30" t="n">
        <v>0</v>
      </c>
      <c r="O30" t="n">
        <v>0</v>
      </c>
      <c r="P30" t="n">
        <v>0</v>
      </c>
      <c r="Q30" t="n">
        <v>5</v>
      </c>
      <c r="R30" t="n">
        <v>2</v>
      </c>
      <c r="S30" t="n">
        <v>5</v>
      </c>
      <c r="T30" t="n">
        <v>5</v>
      </c>
      <c r="U30" s="2" t="inlineStr">
        <is>
          <t>Garnlav
Gränsticka
Harticka
Vedskivlav
Vitgrynig nållav</t>
        </is>
      </c>
      <c r="V30">
        <f>HYPERLINK("https://klasma.github.io/Logging_2422/artfynd/A 58499-2024 artfynd.xlsx", "A 58499-2024")</f>
        <v/>
      </c>
      <c r="W30">
        <f>HYPERLINK("https://klasma.github.io/Logging_2422/kartor/A 58499-2024 karta.png", "A 58499-2024")</f>
        <v/>
      </c>
      <c r="Y30">
        <f>HYPERLINK("https://klasma.github.io/Logging_2422/klagomål/A 58499-2024 FSC-klagomål.docx", "A 58499-2024")</f>
        <v/>
      </c>
      <c r="Z30">
        <f>HYPERLINK("https://klasma.github.io/Logging_2422/klagomålsmail/A 58499-2024 FSC-klagomål mail.docx", "A 58499-2024")</f>
        <v/>
      </c>
      <c r="AA30">
        <f>HYPERLINK("https://klasma.github.io/Logging_2422/tillsyn/A 58499-2024 tillsynsbegäran.docx", "A 58499-2024")</f>
        <v/>
      </c>
      <c r="AB30">
        <f>HYPERLINK("https://klasma.github.io/Logging_2422/tillsynsmail/A 58499-2024 tillsynsbegäran mail.docx", "A 58499-2024")</f>
        <v/>
      </c>
    </row>
    <row r="31" ht="15" customHeight="1">
      <c r="A31" t="inlineStr">
        <is>
          <t>A 32797-2025</t>
        </is>
      </c>
      <c r="B31" t="inlineStr">
        <is>
          <t>avverkningsanmälan</t>
        </is>
      </c>
      <c r="C31" t="inlineStr">
        <is>
          <t>Föryngringsavverkning</t>
        </is>
      </c>
      <c r="D31" s="1" t="n">
        <v>45839</v>
      </c>
      <c r="E31" s="1" t="n">
        <v>46220</v>
      </c>
      <c r="F31" t="inlineStr">
        <is>
          <t>VÄSTERBOTTENS LÄN</t>
        </is>
      </c>
      <c r="G31" t="inlineStr">
        <is>
          <t>SORSELE</t>
        </is>
      </c>
      <c r="I31" t="n">
        <v>12.8</v>
      </c>
      <c r="J31" t="n">
        <v>1</v>
      </c>
      <c r="K31" t="n">
        <v>0</v>
      </c>
      <c r="L31" t="n">
        <v>4</v>
      </c>
      <c r="M31" t="n">
        <v>1</v>
      </c>
      <c r="N31" t="n">
        <v>0</v>
      </c>
      <c r="O31" t="n">
        <v>0</v>
      </c>
      <c r="P31" t="n">
        <v>0</v>
      </c>
      <c r="Q31" t="n">
        <v>5</v>
      </c>
      <c r="R31" t="n">
        <v>1</v>
      </c>
      <c r="S31" t="n">
        <v>5</v>
      </c>
      <c r="T31" t="n">
        <v>7</v>
      </c>
      <c r="U31" s="2" t="inlineStr">
        <is>
          <t>Garnlav
Harticka
Skrovellav
Talltita
Vitgrynig nållav</t>
        </is>
      </c>
      <c r="V31">
        <f>HYPERLINK("https://klasma.github.io/Logging_2422/artfynd/A 32797-2025 artfynd.xlsx", "A 32797-2025")</f>
        <v/>
      </c>
      <c r="W31">
        <f>HYPERLINK("https://klasma.github.io/Logging_2422/kartor/A 32797-2025 karta.png", "A 32797-2025")</f>
        <v/>
      </c>
      <c r="Y31">
        <f>HYPERLINK("https://klasma.github.io/Logging_2422/klagomål/A 32797-2025 FSC-klagomål.docx", "A 32797-2025")</f>
        <v/>
      </c>
      <c r="Z31">
        <f>HYPERLINK("https://klasma.github.io/Logging_2422/klagomålsmail/A 32797-2025 FSC-klagomål mail.docx", "A 32797-2025")</f>
        <v/>
      </c>
      <c r="AA31">
        <f>HYPERLINK("https://klasma.github.io/Logging_2422/tillsyn/A 32797-2025 tillsynsbegäran.docx", "A 32797-2025")</f>
        <v/>
      </c>
      <c r="AB31">
        <f>HYPERLINK("https://klasma.github.io/Logging_2422/tillsynsmail/A 32797-2025 tillsynsbegäran mail.docx", "A 32797-2025")</f>
        <v/>
      </c>
      <c r="AC31">
        <f>HYPERLINK("https://klasma.github.io/Logging_2422/fåglar/A 32797-2025 prioriterade fågelarter.docx", "A 32797-2025")</f>
        <v/>
      </c>
    </row>
    <row r="32" ht="15" customHeight="1">
      <c r="A32" t="inlineStr">
        <is>
          <t>A 58497-2024</t>
        </is>
      </c>
      <c r="B32" t="inlineStr">
        <is>
          <t>avverkningsanmälan</t>
        </is>
      </c>
      <c r="C32" t="inlineStr">
        <is>
          <t>Föryngringsavverkning</t>
        </is>
      </c>
      <c r="D32" s="1" t="n">
        <v>45635</v>
      </c>
      <c r="E32" s="1" t="n">
        <v>46220</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s="2" t="inlineStr">
        <is>
          <t>Garnlav
Vitskaftad svartspik
Harticka
Knottrig blåslav
Vitgrynig nållav</t>
        </is>
      </c>
      <c r="V32">
        <f>HYPERLINK("https://klasma.github.io/Logging_2422/artfynd/A 58497-2024 artfynd.xlsx", "A 58497-2024")</f>
        <v/>
      </c>
      <c r="W32">
        <f>HYPERLINK("https://klasma.github.io/Logging_2422/kartor/A 58497-2024 karta.png", "A 58497-2024")</f>
        <v/>
      </c>
      <c r="Y32">
        <f>HYPERLINK("https://klasma.github.io/Logging_2422/klagomål/A 58497-2024 FSC-klagomål.docx", "A 58497-2024")</f>
        <v/>
      </c>
      <c r="Z32">
        <f>HYPERLINK("https://klasma.github.io/Logging_2422/klagomålsmail/A 58497-2024 FSC-klagomål mail.docx", "A 58497-2024")</f>
        <v/>
      </c>
      <c r="AA32">
        <f>HYPERLINK("https://klasma.github.io/Logging_2422/tillsyn/A 58497-2024 tillsynsbegäran.docx", "A 58497-2024")</f>
        <v/>
      </c>
      <c r="AB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46220</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s="2" t="inlineStr">
        <is>
          <t>Blanksvart spiklav
Blågrå svartspik
Harticka
Vitgrynig nållav
Nästlav</t>
        </is>
      </c>
      <c r="V33">
        <f>HYPERLINK("https://klasma.github.io/Logging_2422/artfynd/A 58498-2024 artfynd.xlsx", "A 58498-2024")</f>
        <v/>
      </c>
      <c r="W33">
        <f>HYPERLINK("https://klasma.github.io/Logging_2422/kartor/A 58498-2024 karta.png", "A 58498-2024")</f>
        <v/>
      </c>
      <c r="Y33">
        <f>HYPERLINK("https://klasma.github.io/Logging_2422/klagomål/A 58498-2024 FSC-klagomål.docx", "A 58498-2024")</f>
        <v/>
      </c>
      <c r="Z33">
        <f>HYPERLINK("https://klasma.github.io/Logging_2422/klagomålsmail/A 58498-2024 FSC-klagomål mail.docx", "A 58498-2024")</f>
        <v/>
      </c>
      <c r="AA33">
        <f>HYPERLINK("https://klasma.github.io/Logging_2422/tillsyn/A 58498-2024 tillsynsbegäran.docx", "A 58498-2024")</f>
        <v/>
      </c>
      <c r="AB33">
        <f>HYPERLINK("https://klasma.github.io/Logging_2422/tillsynsmail/A 58498-2024 tillsynsbegäran mail.docx", "A 58498-2024")</f>
        <v/>
      </c>
    </row>
    <row r="34" ht="15" customHeight="1">
      <c r="A34" t="inlineStr">
        <is>
          <t>A 12714-2026</t>
        </is>
      </c>
      <c r="B34" t="inlineStr">
        <is>
          <t>avverkningsanmälan</t>
        </is>
      </c>
      <c r="C34" t="inlineStr">
        <is>
          <t>Föryngringsavverkning</t>
        </is>
      </c>
      <c r="D34" s="1" t="n">
        <v>46091</v>
      </c>
      <c r="E34" s="1" t="n">
        <v>46220</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s="2" t="inlineStr">
        <is>
          <t>Harticka
Skrovellav
Bronshjon
Dvärgtufs
Skinnlav</t>
        </is>
      </c>
      <c r="V34">
        <f>HYPERLINK("https://klasma.github.io/Logging_2422/artfynd/A 12714-2026 artfynd.xlsx", "A 12714-2026")</f>
        <v/>
      </c>
      <c r="W34">
        <f>HYPERLINK("https://klasma.github.io/Logging_2422/kartor/A 12714-2026 karta.png", "A 12714-2026")</f>
        <v/>
      </c>
      <c r="Y34">
        <f>HYPERLINK("https://klasma.github.io/Logging_2422/klagomål/A 12714-2026 FSC-klagomål.docx", "A 12714-2026")</f>
        <v/>
      </c>
      <c r="Z34">
        <f>HYPERLINK("https://klasma.github.io/Logging_2422/klagomålsmail/A 12714-2026 FSC-klagomål mail.docx", "A 12714-2026")</f>
        <v/>
      </c>
      <c r="AA34">
        <f>HYPERLINK("https://klasma.github.io/Logging_2422/tillsyn/A 12714-2026 tillsynsbegäran.docx", "A 12714-2026")</f>
        <v/>
      </c>
      <c r="AB34">
        <f>HYPERLINK("https://klasma.github.io/Logging_2422/tillsynsmail/A 12714-2026 tillsynsbegäran mail.docx", "A 12714-2026")</f>
        <v/>
      </c>
    </row>
    <row r="35" ht="15" customHeight="1">
      <c r="A35" t="inlineStr">
        <is>
          <t>A 8987-2025</t>
        </is>
      </c>
      <c r="B35" t="inlineStr">
        <is>
          <t>avverkningsanmälan</t>
        </is>
      </c>
      <c r="C35" t="inlineStr">
        <is>
          <t>Föryngringsavverkning</t>
        </is>
      </c>
      <c r="D35" s="1" t="n">
        <v>45713</v>
      </c>
      <c r="E35" s="1" t="n">
        <v>46220</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s="2" t="inlineStr">
        <is>
          <t>Dvärgbägarlav
Tretåig hackspett
Vitplätt
Spillkråka
Tjäder</t>
        </is>
      </c>
      <c r="V35">
        <f>HYPERLINK("https://klasma.github.io/Logging_2422/artfynd/A 8987-2025 artfynd.xlsx", "A 8987-2025")</f>
        <v/>
      </c>
      <c r="W35">
        <f>HYPERLINK("https://klasma.github.io/Logging_2422/kartor/A 8987-2025 karta.png", "A 8987-2025")</f>
        <v/>
      </c>
      <c r="Y35">
        <f>HYPERLINK("https://klasma.github.io/Logging_2422/klagomål/A 8987-2025 FSC-klagomål.docx", "A 8987-2025")</f>
        <v/>
      </c>
      <c r="Z35">
        <f>HYPERLINK("https://klasma.github.io/Logging_2422/klagomålsmail/A 8987-2025 FSC-klagomål mail.docx", "A 8987-2025")</f>
        <v/>
      </c>
      <c r="AA35">
        <f>HYPERLINK("https://klasma.github.io/Logging_2422/tillsyn/A 8987-2025 tillsynsbegäran.docx", "A 8987-2025")</f>
        <v/>
      </c>
      <c r="AB35">
        <f>HYPERLINK("https://klasma.github.io/Logging_2422/tillsynsmail/A 8987-2025 tillsynsbegäran mail.docx", "A 8987-2025")</f>
        <v/>
      </c>
      <c r="AC35">
        <f>HYPERLINK("https://klasma.github.io/Logging_2422/fåglar/A 8987-2025 prioriterade fågelarter.docx", "A 8987-2025")</f>
        <v/>
      </c>
    </row>
    <row r="36" ht="15" customHeight="1">
      <c r="A36" t="inlineStr">
        <is>
          <t>A 50916-2022</t>
        </is>
      </c>
      <c r="B36" t="inlineStr">
        <is>
          <t>avverkningsanmälan</t>
        </is>
      </c>
      <c r="C36" t="inlineStr">
        <is>
          <t>Föryngringsavverkning</t>
        </is>
      </c>
      <c r="D36" s="1" t="n">
        <v>44865</v>
      </c>
      <c r="E36" s="1" t="n">
        <v>46220</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s="2" t="inlineStr">
        <is>
          <t>Garnlav
Harticka
Rosenticka
Tretåig hackspett
Ullticka</t>
        </is>
      </c>
      <c r="V36">
        <f>HYPERLINK("https://klasma.github.io/Logging_2422/artfynd/A 50916-2022 artfynd.xlsx", "A 50916-2022")</f>
        <v/>
      </c>
      <c r="W36">
        <f>HYPERLINK("https://klasma.github.io/Logging_2422/kartor/A 50916-2022 karta.png", "A 50916-2022")</f>
        <v/>
      </c>
      <c r="Y36">
        <f>HYPERLINK("https://klasma.github.io/Logging_2422/klagomål/A 50916-2022 FSC-klagomål.docx", "A 50916-2022")</f>
        <v/>
      </c>
      <c r="Z36">
        <f>HYPERLINK("https://klasma.github.io/Logging_2422/klagomålsmail/A 50916-2022 FSC-klagomål mail.docx", "A 50916-2022")</f>
        <v/>
      </c>
      <c r="AA36">
        <f>HYPERLINK("https://klasma.github.io/Logging_2422/tillsyn/A 50916-2022 tillsynsbegäran.docx", "A 50916-2022")</f>
        <v/>
      </c>
      <c r="AB36">
        <f>HYPERLINK("https://klasma.github.io/Logging_2422/tillsynsmail/A 50916-2022 tillsynsbegäran mail.docx", "A 50916-2022")</f>
        <v/>
      </c>
      <c r="AC36">
        <f>HYPERLINK("https://klasma.github.io/Logging_2422/fåglar/A 50916-2022 prioriterade fågelarter.docx", "A 50916-2022")</f>
        <v/>
      </c>
    </row>
    <row r="37" ht="15" customHeight="1">
      <c r="A37" t="inlineStr">
        <is>
          <t>A 32813-2022</t>
        </is>
      </c>
      <c r="B37" t="inlineStr">
        <is>
          <t>avverkningsanmälan</t>
        </is>
      </c>
      <c r="C37" t="inlineStr">
        <is>
          <t>Avverkning för annat ändamål</t>
        </is>
      </c>
      <c r="D37" s="1" t="n">
        <v>44784</v>
      </c>
      <c r="E37" s="1" t="n">
        <v>46220</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s="2" t="inlineStr">
        <is>
          <t>Lunglav
Tretåig hackspett
Järpe
Spillkråka</t>
        </is>
      </c>
      <c r="V37">
        <f>HYPERLINK("https://klasma.github.io/Logging_2422/artfynd/A 32813-2022 artfynd.xlsx", "A 32813-2022")</f>
        <v/>
      </c>
      <c r="W37">
        <f>HYPERLINK("https://klasma.github.io/Logging_2422/kartor/A 32813-2022 karta.png", "A 32813-2022")</f>
        <v/>
      </c>
      <c r="Y37">
        <f>HYPERLINK("https://klasma.github.io/Logging_2422/klagomål/A 32813-2022 FSC-klagomål.docx", "A 32813-2022")</f>
        <v/>
      </c>
      <c r="Z37">
        <f>HYPERLINK("https://klasma.github.io/Logging_2422/klagomålsmail/A 32813-2022 FSC-klagomål mail.docx", "A 32813-2022")</f>
        <v/>
      </c>
      <c r="AA37">
        <f>HYPERLINK("https://klasma.github.io/Logging_2422/tillsyn/A 32813-2022 tillsynsbegäran.docx", "A 32813-2022")</f>
        <v/>
      </c>
      <c r="AB37">
        <f>HYPERLINK("https://klasma.github.io/Logging_2422/tillsynsmail/A 32813-2022 tillsynsbegäran mail.docx", "A 32813-2022")</f>
        <v/>
      </c>
      <c r="AC37">
        <f>HYPERLINK("https://klasma.github.io/Logging_2422/fåglar/A 32813-2022 prioriterade fågelarter.docx", "A 32813-2022")</f>
        <v/>
      </c>
    </row>
    <row r="38" ht="15" customHeight="1">
      <c r="A38" t="inlineStr">
        <is>
          <t>A 54568-2021</t>
        </is>
      </c>
      <c r="B38" t="inlineStr">
        <is>
          <t>avverkningsanmälan</t>
        </is>
      </c>
      <c r="C38" t="inlineStr">
        <is>
          <t>Föryngringsavverkning</t>
        </is>
      </c>
      <c r="D38" s="1" t="n">
        <v>44473</v>
      </c>
      <c r="E38" s="1" t="n">
        <v>46220</v>
      </c>
      <c r="F38" t="inlineStr">
        <is>
          <t>VÄSTERBOTTENS LÄN</t>
        </is>
      </c>
      <c r="G38" t="inlineStr">
        <is>
          <t>SORSELE</t>
        </is>
      </c>
      <c r="H38" t="inlineStr">
        <is>
          <t>Sveaskog</t>
        </is>
      </c>
      <c r="I38" t="n">
        <v>1.6</v>
      </c>
      <c r="J38" t="n">
        <v>2</v>
      </c>
      <c r="K38" t="n">
        <v>0</v>
      </c>
      <c r="L38" t="n">
        <v>2</v>
      </c>
      <c r="M38" t="n">
        <v>1</v>
      </c>
      <c r="N38" t="n">
        <v>0</v>
      </c>
      <c r="O38" t="n">
        <v>0</v>
      </c>
      <c r="P38" t="n">
        <v>0</v>
      </c>
      <c r="Q38" t="n">
        <v>3</v>
      </c>
      <c r="R38" t="n">
        <v>1</v>
      </c>
      <c r="S38" t="n">
        <v>4</v>
      </c>
      <c r="T38" t="n">
        <v>4</v>
      </c>
      <c r="U38" s="2" t="inlineStr">
        <is>
          <t>Garnlav
Dvärgbägarlav
Talltita
Spillkråka</t>
        </is>
      </c>
      <c r="V38">
        <f>HYPERLINK("https://klasma.github.io/Logging_2422/artfynd/A 54568-2021 artfynd.xlsx", "A 54568-2021")</f>
        <v/>
      </c>
      <c r="W38">
        <f>HYPERLINK("https://klasma.github.io/Logging_2422/kartor/A 54568-2021 karta.png", "A 54568-2021")</f>
        <v/>
      </c>
      <c r="Y38">
        <f>HYPERLINK("https://klasma.github.io/Logging_2422/klagomål/A 54568-2021 FSC-klagomål.docx", "A 54568-2021")</f>
        <v/>
      </c>
      <c r="Z38">
        <f>HYPERLINK("https://klasma.github.io/Logging_2422/klagomålsmail/A 54568-2021 FSC-klagomål mail.docx", "A 54568-2021")</f>
        <v/>
      </c>
      <c r="AA38">
        <f>HYPERLINK("https://klasma.github.io/Logging_2422/tillsyn/A 54568-2021 tillsynsbegäran.docx", "A 54568-2021")</f>
        <v/>
      </c>
      <c r="AB38">
        <f>HYPERLINK("https://klasma.github.io/Logging_2422/tillsynsmail/A 54568-2021 tillsynsbegäran mail.docx", "A 54568-2021")</f>
        <v/>
      </c>
      <c r="AC38">
        <f>HYPERLINK("https://klasma.github.io/Logging_2422/fåglar/A 54568-2021 prioriterade fågelarter.docx", "A 54568-2021")</f>
        <v/>
      </c>
    </row>
    <row r="39" ht="15" customHeight="1">
      <c r="A39" t="inlineStr">
        <is>
          <t>A 23929-2025</t>
        </is>
      </c>
      <c r="B39" t="inlineStr">
        <is>
          <t>avverkningsanmälan</t>
        </is>
      </c>
      <c r="C39" t="inlineStr">
        <is>
          <t>Föryngringsavverkning</t>
        </is>
      </c>
      <c r="D39" s="1" t="n">
        <v>45795</v>
      </c>
      <c r="E39" s="1" t="n">
        <v>46220</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s="2" t="inlineStr">
        <is>
          <t>Garnlav
Gammelgransskål
Harticka
Vitgrynig nållav</t>
        </is>
      </c>
      <c r="V39">
        <f>HYPERLINK("https://klasma.github.io/Logging_2422/artfynd/A 23929-2025 artfynd.xlsx", "A 23929-2025")</f>
        <v/>
      </c>
      <c r="W39">
        <f>HYPERLINK("https://klasma.github.io/Logging_2422/kartor/A 23929-2025 karta.png", "A 23929-2025")</f>
        <v/>
      </c>
      <c r="Y39">
        <f>HYPERLINK("https://klasma.github.io/Logging_2422/klagomål/A 23929-2025 FSC-klagomål.docx", "A 23929-2025")</f>
        <v/>
      </c>
      <c r="Z39">
        <f>HYPERLINK("https://klasma.github.io/Logging_2422/klagomålsmail/A 23929-2025 FSC-klagomål mail.docx", "A 23929-2025")</f>
        <v/>
      </c>
      <c r="AA39">
        <f>HYPERLINK("https://klasma.github.io/Logging_2422/tillsyn/A 23929-2025 tillsynsbegäran.docx", "A 23929-2025")</f>
        <v/>
      </c>
      <c r="AB39">
        <f>HYPERLINK("https://klasma.github.io/Logging_2422/tillsynsmail/A 23929-2025 tillsynsbegäran mail.docx", "A 23929-2025")</f>
        <v/>
      </c>
    </row>
    <row r="40" ht="15" customHeight="1">
      <c r="A40" t="inlineStr">
        <is>
          <t>A 45582-2022</t>
        </is>
      </c>
      <c r="B40" t="inlineStr">
        <is>
          <t>avverkningsanmälan</t>
        </is>
      </c>
      <c r="C40" t="inlineStr">
        <is>
          <t>Föryngringsavverkning</t>
        </is>
      </c>
      <c r="D40" s="1" t="n">
        <v>44841</v>
      </c>
      <c r="E40" s="1" t="n">
        <v>46220</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s="2" t="inlineStr">
        <is>
          <t>Grangytterlav
Lunglav
Olivbrun gytterlav
Skrovellav</t>
        </is>
      </c>
      <c r="V40">
        <f>HYPERLINK("https://klasma.github.io/Logging_2422/artfynd/A 45582-2022 artfynd.xlsx", "A 45582-2022")</f>
        <v/>
      </c>
      <c r="W40">
        <f>HYPERLINK("https://klasma.github.io/Logging_2422/kartor/A 45582-2022 karta.png", "A 45582-2022")</f>
        <v/>
      </c>
      <c r="Y40">
        <f>HYPERLINK("https://klasma.github.io/Logging_2422/klagomål/A 45582-2022 FSC-klagomål.docx", "A 45582-2022")</f>
        <v/>
      </c>
      <c r="Z40">
        <f>HYPERLINK("https://klasma.github.io/Logging_2422/klagomålsmail/A 45582-2022 FSC-klagomål mail.docx", "A 45582-2022")</f>
        <v/>
      </c>
      <c r="AA40">
        <f>HYPERLINK("https://klasma.github.io/Logging_2422/tillsyn/A 45582-2022 tillsynsbegäran.docx", "A 45582-2022")</f>
        <v/>
      </c>
      <c r="AB40">
        <f>HYPERLINK("https://klasma.github.io/Logging_2422/tillsynsmail/A 45582-2022 tillsynsbegäran mail.docx", "A 45582-2022")</f>
        <v/>
      </c>
    </row>
    <row r="41" ht="15" customHeight="1">
      <c r="A41" t="inlineStr">
        <is>
          <t>A 39882-2025</t>
        </is>
      </c>
      <c r="B41" t="inlineStr">
        <is>
          <t>avverkningsanmälan</t>
        </is>
      </c>
      <c r="C41" t="inlineStr">
        <is>
          <t>Föryngringsavverkning</t>
        </is>
      </c>
      <c r="D41" s="1" t="n">
        <v>45891</v>
      </c>
      <c r="E41" s="1" t="n">
        <v>46220</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s="2" t="inlineStr">
        <is>
          <t>Ostticka
Gammelgransskål
Stjärntagging
Skinnlav</t>
        </is>
      </c>
      <c r="V41">
        <f>HYPERLINK("https://klasma.github.io/Logging_2422/artfynd/A 39882-2025 artfynd.xlsx", "A 39882-2025")</f>
        <v/>
      </c>
      <c r="W41">
        <f>HYPERLINK("https://klasma.github.io/Logging_2422/kartor/A 39882-2025 karta.png", "A 39882-2025")</f>
        <v/>
      </c>
      <c r="Y41">
        <f>HYPERLINK("https://klasma.github.io/Logging_2422/klagomål/A 39882-2025 FSC-klagomål.docx", "A 39882-2025")</f>
        <v/>
      </c>
      <c r="Z41">
        <f>HYPERLINK("https://klasma.github.io/Logging_2422/klagomålsmail/A 39882-2025 FSC-klagomål mail.docx", "A 39882-2025")</f>
        <v/>
      </c>
      <c r="AA41">
        <f>HYPERLINK("https://klasma.github.io/Logging_2422/tillsyn/A 39882-2025 tillsynsbegäran.docx", "A 39882-2025")</f>
        <v/>
      </c>
      <c r="AB41">
        <f>HYPERLINK("https://klasma.github.io/Logging_2422/tillsynsmail/A 39882-2025 tillsynsbegäran mail.docx", "A 39882-2025")</f>
        <v/>
      </c>
    </row>
    <row r="42" ht="15" customHeight="1">
      <c r="A42" t="inlineStr">
        <is>
          <t>A 32798-2025</t>
        </is>
      </c>
      <c r="B42" t="inlineStr">
        <is>
          <t>avverkningsanmälan</t>
        </is>
      </c>
      <c r="C42" t="inlineStr">
        <is>
          <t>Föryngringsavverkning</t>
        </is>
      </c>
      <c r="D42" s="1" t="n">
        <v>45839</v>
      </c>
      <c r="E42" s="1" t="n">
        <v>46220</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s="2" t="inlineStr">
        <is>
          <t>Garnlav
Harticka
Ullticka
Vitgrynig nållav</t>
        </is>
      </c>
      <c r="V42">
        <f>HYPERLINK("https://klasma.github.io/Logging_2422/artfynd/A 32798-2025 artfynd.xlsx", "A 32798-2025")</f>
        <v/>
      </c>
      <c r="W42">
        <f>HYPERLINK("https://klasma.github.io/Logging_2422/kartor/A 32798-2025 karta.png", "A 32798-2025")</f>
        <v/>
      </c>
      <c r="Y42">
        <f>HYPERLINK("https://klasma.github.io/Logging_2422/klagomål/A 32798-2025 FSC-klagomål.docx", "A 32798-2025")</f>
        <v/>
      </c>
      <c r="Z42">
        <f>HYPERLINK("https://klasma.github.io/Logging_2422/klagomålsmail/A 32798-2025 FSC-klagomål mail.docx", "A 32798-2025")</f>
        <v/>
      </c>
      <c r="AA42">
        <f>HYPERLINK("https://klasma.github.io/Logging_2422/tillsyn/A 32798-2025 tillsynsbegäran.docx", "A 32798-2025")</f>
        <v/>
      </c>
      <c r="AB42">
        <f>HYPERLINK("https://klasma.github.io/Logging_2422/tillsynsmail/A 32798-2025 tillsynsbegäran mail.docx", "A 32798-2025")</f>
        <v/>
      </c>
    </row>
    <row r="43" ht="15" customHeight="1">
      <c r="A43" t="inlineStr">
        <is>
          <t>A 43265-2021</t>
        </is>
      </c>
      <c r="B43" t="inlineStr">
        <is>
          <t>avverkningsanmälan</t>
        </is>
      </c>
      <c r="C43" t="inlineStr">
        <is>
          <t>Föryngringsavverkning</t>
        </is>
      </c>
      <c r="D43" s="1" t="n">
        <v>44432</v>
      </c>
      <c r="E43" s="1" t="n">
        <v>46220</v>
      </c>
      <c r="F43" t="inlineStr">
        <is>
          <t>VÄSTERBOTTENS LÄN</t>
        </is>
      </c>
      <c r="G43" t="inlineStr">
        <is>
          <t>SORSELE</t>
        </is>
      </c>
      <c r="I43" t="n">
        <v>38.3</v>
      </c>
      <c r="J43" t="n">
        <v>2</v>
      </c>
      <c r="K43" t="n">
        <v>0</v>
      </c>
      <c r="L43" t="n">
        <v>0</v>
      </c>
      <c r="M43" t="n">
        <v>1</v>
      </c>
      <c r="N43" t="n">
        <v>0</v>
      </c>
      <c r="O43" t="n">
        <v>0</v>
      </c>
      <c r="P43" t="n">
        <v>0</v>
      </c>
      <c r="Q43" t="n">
        <v>1</v>
      </c>
      <c r="R43" t="n">
        <v>1</v>
      </c>
      <c r="S43" t="n">
        <v>3</v>
      </c>
      <c r="T43" t="n">
        <v>3</v>
      </c>
      <c r="U43" s="2" t="inlineStr">
        <is>
          <t>Garnlav
Tjäder
Fläcknycklar</t>
        </is>
      </c>
      <c r="V43">
        <f>HYPERLINK("https://klasma.github.io/Logging_2422/artfynd/A 43265-2021 artfynd.xlsx", "A 43265-2021")</f>
        <v/>
      </c>
      <c r="W43">
        <f>HYPERLINK("https://klasma.github.io/Logging_2422/kartor/A 43265-2021 karta.png", "A 43265-2021")</f>
        <v/>
      </c>
      <c r="Y43">
        <f>HYPERLINK("https://klasma.github.io/Logging_2422/klagomål/A 43265-2021 FSC-klagomål.docx", "A 43265-2021")</f>
        <v/>
      </c>
      <c r="Z43">
        <f>HYPERLINK("https://klasma.github.io/Logging_2422/klagomålsmail/A 43265-2021 FSC-klagomål mail.docx", "A 43265-2021")</f>
        <v/>
      </c>
      <c r="AA43">
        <f>HYPERLINK("https://klasma.github.io/Logging_2422/tillsyn/A 43265-2021 tillsynsbegäran.docx", "A 43265-2021")</f>
        <v/>
      </c>
      <c r="AB43">
        <f>HYPERLINK("https://klasma.github.io/Logging_2422/tillsynsmail/A 43265-2021 tillsynsbegäran mail.docx", "A 43265-2021")</f>
        <v/>
      </c>
      <c r="AC43">
        <f>HYPERLINK("https://klasma.github.io/Logging_2422/fåglar/A 43265-2021 prioriterade fågelarter.docx", "A 43265-2021")</f>
        <v/>
      </c>
    </row>
    <row r="44" ht="15" customHeight="1">
      <c r="A44" t="inlineStr">
        <is>
          <t>A 66443-2021</t>
        </is>
      </c>
      <c r="B44" t="inlineStr">
        <is>
          <t>avverkningsanmälan</t>
        </is>
      </c>
      <c r="C44" t="inlineStr">
        <is>
          <t>Föryngringsavverkning</t>
        </is>
      </c>
      <c r="D44" s="1" t="n">
        <v>44518</v>
      </c>
      <c r="E44" s="1" t="n">
        <v>46220</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s="2" t="inlineStr">
        <is>
          <t>Dvärgbägarlav
Harticka
Talltita</t>
        </is>
      </c>
      <c r="V44">
        <f>HYPERLINK("https://klasma.github.io/Logging_2422/artfynd/A 66443-2021 artfynd.xlsx", "A 66443-2021")</f>
        <v/>
      </c>
      <c r="W44">
        <f>HYPERLINK("https://klasma.github.io/Logging_2422/kartor/A 66443-2021 karta.png", "A 66443-2021")</f>
        <v/>
      </c>
      <c r="Y44">
        <f>HYPERLINK("https://klasma.github.io/Logging_2422/klagomål/A 66443-2021 FSC-klagomål.docx", "A 66443-2021")</f>
        <v/>
      </c>
      <c r="Z44">
        <f>HYPERLINK("https://klasma.github.io/Logging_2422/klagomålsmail/A 66443-2021 FSC-klagomål mail.docx", "A 66443-2021")</f>
        <v/>
      </c>
      <c r="AA44">
        <f>HYPERLINK("https://klasma.github.io/Logging_2422/tillsyn/A 66443-2021 tillsynsbegäran.docx", "A 66443-2021")</f>
        <v/>
      </c>
      <c r="AB44">
        <f>HYPERLINK("https://klasma.github.io/Logging_2422/tillsynsmail/A 66443-2021 tillsynsbegäran mail.docx", "A 66443-2021")</f>
        <v/>
      </c>
      <c r="AC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46220</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s="2" t="inlineStr">
        <is>
          <t>Knottrig blåslav
Tretåig hackspett
Vitgrynig nållav</t>
        </is>
      </c>
      <c r="V45">
        <f>HYPERLINK("https://klasma.github.io/Logging_2422/artfynd/A 13727-2022 artfynd.xlsx", "A 13727-2022")</f>
        <v/>
      </c>
      <c r="W45">
        <f>HYPERLINK("https://klasma.github.io/Logging_2422/kartor/A 13727-2022 karta.png", "A 13727-2022")</f>
        <v/>
      </c>
      <c r="Y45">
        <f>HYPERLINK("https://klasma.github.io/Logging_2422/klagomål/A 13727-2022 FSC-klagomål.docx", "A 13727-2022")</f>
        <v/>
      </c>
      <c r="Z45">
        <f>HYPERLINK("https://klasma.github.io/Logging_2422/klagomålsmail/A 13727-2022 FSC-klagomål mail.docx", "A 13727-2022")</f>
        <v/>
      </c>
      <c r="AA45">
        <f>HYPERLINK("https://klasma.github.io/Logging_2422/tillsyn/A 13727-2022 tillsynsbegäran.docx", "A 13727-2022")</f>
        <v/>
      </c>
      <c r="AB45">
        <f>HYPERLINK("https://klasma.github.io/Logging_2422/tillsynsmail/A 13727-2022 tillsynsbegäran mail.docx", "A 13727-2022")</f>
        <v/>
      </c>
      <c r="AC45">
        <f>HYPERLINK("https://klasma.github.io/Logging_2422/fåglar/A 13727-2022 prioriterade fågelarter.docx", "A 13727-2022")</f>
        <v/>
      </c>
    </row>
    <row r="46" ht="15" customHeight="1">
      <c r="A46" t="inlineStr">
        <is>
          <t>A 43272-2021</t>
        </is>
      </c>
      <c r="B46" t="inlineStr">
        <is>
          <t>avverkningsanmälan</t>
        </is>
      </c>
      <c r="C46" t="inlineStr">
        <is>
          <t>Föryngringsavverkning</t>
        </is>
      </c>
      <c r="D46" s="1" t="n">
        <v>44432</v>
      </c>
      <c r="E46" s="1" t="n">
        <v>46220</v>
      </c>
      <c r="F46" t="inlineStr">
        <is>
          <t>VÄSTERBOTTENS LÄN</t>
        </is>
      </c>
      <c r="G46" t="inlineStr">
        <is>
          <t>SORSELE</t>
        </is>
      </c>
      <c r="I46" t="n">
        <v>24.4</v>
      </c>
      <c r="J46" t="n">
        <v>1</v>
      </c>
      <c r="K46" t="n">
        <v>0</v>
      </c>
      <c r="L46" t="n">
        <v>1</v>
      </c>
      <c r="M46" t="n">
        <v>1</v>
      </c>
      <c r="N46" t="n">
        <v>0</v>
      </c>
      <c r="O46" t="n">
        <v>0</v>
      </c>
      <c r="P46" t="n">
        <v>0</v>
      </c>
      <c r="Q46" t="n">
        <v>2</v>
      </c>
      <c r="R46" t="n">
        <v>1</v>
      </c>
      <c r="S46" t="n">
        <v>2</v>
      </c>
      <c r="T46" t="n">
        <v>2</v>
      </c>
      <c r="U46" s="2" t="inlineStr">
        <is>
          <t>Garnlav
Tretåig hackspett</t>
        </is>
      </c>
      <c r="V46">
        <f>HYPERLINK("https://klasma.github.io/Logging_2422/artfynd/A 43272-2021 artfynd.xlsx", "A 43272-2021")</f>
        <v/>
      </c>
      <c r="W46">
        <f>HYPERLINK("https://klasma.github.io/Logging_2422/kartor/A 43272-2021 karta.png", "A 43272-2021")</f>
        <v/>
      </c>
      <c r="Y46">
        <f>HYPERLINK("https://klasma.github.io/Logging_2422/klagomål/A 43272-2021 FSC-klagomål.docx", "A 43272-2021")</f>
        <v/>
      </c>
      <c r="Z46">
        <f>HYPERLINK("https://klasma.github.io/Logging_2422/klagomålsmail/A 43272-2021 FSC-klagomål mail.docx", "A 43272-2021")</f>
        <v/>
      </c>
      <c r="AA46">
        <f>HYPERLINK("https://klasma.github.io/Logging_2422/tillsyn/A 43272-2021 tillsynsbegäran.docx", "A 43272-2021")</f>
        <v/>
      </c>
      <c r="AB46">
        <f>HYPERLINK("https://klasma.github.io/Logging_2422/tillsynsmail/A 43272-2021 tillsynsbegäran mail.docx", "A 43272-2021")</f>
        <v/>
      </c>
      <c r="AC46">
        <f>HYPERLINK("https://klasma.github.io/Logging_2422/fåglar/A 43272-2021 prioriterade fågelarter.docx", "A 43272-2021")</f>
        <v/>
      </c>
    </row>
    <row r="47" ht="15" customHeight="1">
      <c r="A47" t="inlineStr">
        <is>
          <t>A 31129-2025</t>
        </is>
      </c>
      <c r="B47" t="inlineStr">
        <is>
          <t>avverkningsanmälan</t>
        </is>
      </c>
      <c r="C47" t="inlineStr">
        <is>
          <t>Föryngringsavverkning</t>
        </is>
      </c>
      <c r="D47" s="1" t="n">
        <v>45831</v>
      </c>
      <c r="E47" s="1" t="n">
        <v>46220</v>
      </c>
      <c r="F47" t="inlineStr">
        <is>
          <t>VÄSTERBOTTENS LÄN</t>
        </is>
      </c>
      <c r="G47" t="inlineStr">
        <is>
          <t>SORSELE</t>
        </is>
      </c>
      <c r="I47" t="n">
        <v>47.3</v>
      </c>
      <c r="J47" t="n">
        <v>2</v>
      </c>
      <c r="K47" t="n">
        <v>0</v>
      </c>
      <c r="L47" t="n">
        <v>1</v>
      </c>
      <c r="M47" t="n">
        <v>0</v>
      </c>
      <c r="N47" t="n">
        <v>0</v>
      </c>
      <c r="O47" t="n">
        <v>0</v>
      </c>
      <c r="P47" t="n">
        <v>0</v>
      </c>
      <c r="Q47" t="n">
        <v>1</v>
      </c>
      <c r="R47" t="n">
        <v>0</v>
      </c>
      <c r="S47" t="n">
        <v>2</v>
      </c>
      <c r="T47" t="n">
        <v>2</v>
      </c>
      <c r="U47" s="2" t="inlineStr">
        <is>
          <t>Lavskrika
Kungsfågel</t>
        </is>
      </c>
      <c r="V47">
        <f>HYPERLINK("https://klasma.github.io/Logging_2422/artfynd/A 31129-2025 artfynd.xlsx", "A 31129-2025")</f>
        <v/>
      </c>
      <c r="W47">
        <f>HYPERLINK("https://klasma.github.io/Logging_2422/kartor/A 31129-2025 karta.png", "A 31129-2025")</f>
        <v/>
      </c>
      <c r="Y47">
        <f>HYPERLINK("https://klasma.github.io/Logging_2422/klagomål/A 31129-2025 FSC-klagomål.docx", "A 31129-2025")</f>
        <v/>
      </c>
      <c r="Z47">
        <f>HYPERLINK("https://klasma.github.io/Logging_2422/klagomålsmail/A 31129-2025 FSC-klagomål mail.docx", "A 31129-2025")</f>
        <v/>
      </c>
      <c r="AA47">
        <f>HYPERLINK("https://klasma.github.io/Logging_2422/tillsyn/A 31129-2025 tillsynsbegäran.docx", "A 31129-2025")</f>
        <v/>
      </c>
      <c r="AB47">
        <f>HYPERLINK("https://klasma.github.io/Logging_2422/tillsynsmail/A 31129-2025 tillsynsbegäran mail.docx", "A 31129-2025")</f>
        <v/>
      </c>
      <c r="AC47">
        <f>HYPERLINK("https://klasma.github.io/Logging_2422/fåglar/A 31129-2025 prioriterade fågelarter.docx", "A 31129-2025")</f>
        <v/>
      </c>
    </row>
    <row r="48" ht="15" customHeight="1">
      <c r="A48" t="inlineStr">
        <is>
          <t>A 14161-2023</t>
        </is>
      </c>
      <c r="B48" t="inlineStr">
        <is>
          <t>avverkningsanmälan</t>
        </is>
      </c>
      <c r="C48" t="inlineStr">
        <is>
          <t>Avverkning för att bevara och utveckla /försöksver</t>
        </is>
      </c>
      <c r="D48" s="1" t="n">
        <v>45008</v>
      </c>
      <c r="E48" s="1" t="n">
        <v>46220</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s="2" t="inlineStr">
        <is>
          <t>Gräsull
Lopplummer (aggregat)</t>
        </is>
      </c>
      <c r="V48">
        <f>HYPERLINK("https://klasma.github.io/Logging_2422/artfynd/A 14161-2023 artfynd.xlsx", "A 14161-2023")</f>
        <v/>
      </c>
      <c r="W48">
        <f>HYPERLINK("https://klasma.github.io/Logging_2422/kartor/A 14161-2023 karta.png", "A 14161-2023")</f>
        <v/>
      </c>
      <c r="Y48">
        <f>HYPERLINK("https://klasma.github.io/Logging_2422/klagomål/A 14161-2023 FSC-klagomål.docx", "A 14161-2023")</f>
        <v/>
      </c>
      <c r="Z48">
        <f>HYPERLINK("https://klasma.github.io/Logging_2422/klagomålsmail/A 14161-2023 FSC-klagomål mail.docx", "A 14161-2023")</f>
        <v/>
      </c>
      <c r="AA48">
        <f>HYPERLINK("https://klasma.github.io/Logging_2422/tillsyn/A 14161-2023 tillsynsbegäran.docx", "A 14161-2023")</f>
        <v/>
      </c>
      <c r="AB48">
        <f>HYPERLINK("https://klasma.github.io/Logging_2422/tillsynsmail/A 14161-2023 tillsynsbegäran mail.docx", "A 14161-2023")</f>
        <v/>
      </c>
    </row>
    <row r="49" ht="15" customHeight="1">
      <c r="A49" t="inlineStr">
        <is>
          <t>A 49250-2024</t>
        </is>
      </c>
      <c r="B49" t="inlineStr">
        <is>
          <t>avverkningsanmälan</t>
        </is>
      </c>
      <c r="C49" t="inlineStr">
        <is>
          <t>Föryngringsavverkning</t>
        </is>
      </c>
      <c r="D49" s="1" t="n">
        <v>45595</v>
      </c>
      <c r="E49" s="1" t="n">
        <v>46220</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s="2" t="inlineStr">
        <is>
          <t>Motaggsvamp
Orange taggsvamp</t>
        </is>
      </c>
      <c r="V49">
        <f>HYPERLINK("https://klasma.github.io/Logging_2422/artfynd/A 49250-2024 artfynd.xlsx", "A 49250-2024")</f>
        <v/>
      </c>
      <c r="W49">
        <f>HYPERLINK("https://klasma.github.io/Logging_2422/kartor/A 49250-2024 karta.png", "A 49250-2024")</f>
        <v/>
      </c>
      <c r="Y49">
        <f>HYPERLINK("https://klasma.github.io/Logging_2422/klagomål/A 49250-2024 FSC-klagomål.docx", "A 49250-2024")</f>
        <v/>
      </c>
      <c r="Z49">
        <f>HYPERLINK("https://klasma.github.io/Logging_2422/klagomålsmail/A 49250-2024 FSC-klagomål mail.docx", "A 49250-2024")</f>
        <v/>
      </c>
      <c r="AA49">
        <f>HYPERLINK("https://klasma.github.io/Logging_2422/tillsyn/A 49250-2024 tillsynsbegäran.docx", "A 49250-2024")</f>
        <v/>
      </c>
      <c r="AB49">
        <f>HYPERLINK("https://klasma.github.io/Logging_2422/tillsynsmail/A 49250-2024 tillsynsbegäran mail.docx", "A 49250-2024")</f>
        <v/>
      </c>
    </row>
    <row r="50" ht="15" customHeight="1">
      <c r="A50" t="inlineStr">
        <is>
          <t>A 26976-2026</t>
        </is>
      </c>
      <c r="B50" t="inlineStr">
        <is>
          <t>avverkningsanmälan</t>
        </is>
      </c>
      <c r="C50" t="inlineStr">
        <is>
          <t>Föryngringsavverkning</t>
        </is>
      </c>
      <c r="D50" s="1" t="n">
        <v>46185</v>
      </c>
      <c r="E50" s="1" t="n">
        <v>46220</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s="2" t="inlineStr">
        <is>
          <t>Smalfotad taggsvamp
Vaddporing</t>
        </is>
      </c>
      <c r="V50">
        <f>HYPERLINK("https://klasma.github.io/Logging_2422/artfynd/A 26976-2026 artfynd.xlsx", "A 26976-2026")</f>
        <v/>
      </c>
      <c r="W50">
        <f>HYPERLINK("https://klasma.github.io/Logging_2422/kartor/A 26976-2026 karta.png", "A 26976-2026")</f>
        <v/>
      </c>
      <c r="Y50">
        <f>HYPERLINK("https://klasma.github.io/Logging_2422/klagomål/A 26976-2026 FSC-klagomål.docx", "A 26976-2026")</f>
        <v/>
      </c>
      <c r="Z50">
        <f>HYPERLINK("https://klasma.github.io/Logging_2422/klagomålsmail/A 26976-2026 FSC-klagomål mail.docx", "A 26976-2026")</f>
        <v/>
      </c>
      <c r="AA50">
        <f>HYPERLINK("https://klasma.github.io/Logging_2422/tillsyn/A 26976-2026 tillsynsbegäran.docx", "A 26976-2026")</f>
        <v/>
      </c>
      <c r="AB50">
        <f>HYPERLINK("https://klasma.github.io/Logging_2422/tillsynsmail/A 26976-2026 tillsynsbegäran mail.docx", "A 26976-2026")</f>
        <v/>
      </c>
    </row>
    <row r="51" ht="15" customHeight="1">
      <c r="A51" t="inlineStr">
        <is>
          <t>A 27768-2026</t>
        </is>
      </c>
      <c r="B51" t="inlineStr">
        <is>
          <t>avverkningsanmälan</t>
        </is>
      </c>
      <c r="C51" t="inlineStr">
        <is>
          <t>Föryngringsavverkning</t>
        </is>
      </c>
      <c r="D51" s="1" t="n">
        <v>46191</v>
      </c>
      <c r="E51" s="1" t="n">
        <v>46220</v>
      </c>
      <c r="F51" t="inlineStr">
        <is>
          <t>VÄSTERBOTTENS LÄN</t>
        </is>
      </c>
      <c r="G51" t="inlineStr">
        <is>
          <t>SORSELE</t>
        </is>
      </c>
      <c r="I51" t="n">
        <v>29.7</v>
      </c>
      <c r="J51" t="n">
        <v>0</v>
      </c>
      <c r="K51" t="n">
        <v>2</v>
      </c>
      <c r="L51" t="n">
        <v>0</v>
      </c>
      <c r="M51" t="n">
        <v>0</v>
      </c>
      <c r="N51" t="n">
        <v>0</v>
      </c>
      <c r="O51" t="n">
        <v>0</v>
      </c>
      <c r="P51" t="n">
        <v>0</v>
      </c>
      <c r="Q51" t="n">
        <v>0</v>
      </c>
      <c r="R51" t="n">
        <v>0</v>
      </c>
      <c r="S51" t="n">
        <v>2</v>
      </c>
      <c r="T51" t="n">
        <v>2</v>
      </c>
      <c r="U51" s="2" t="inlineStr">
        <is>
          <t>Bårdlav
Skinnlav</t>
        </is>
      </c>
      <c r="V51">
        <f>HYPERLINK("https://klasma.github.io/Logging_2422/artfynd/A 27768-2026 artfynd.xlsx", "A 27768-2026")</f>
        <v/>
      </c>
      <c r="W51">
        <f>HYPERLINK("https://klasma.github.io/Logging_2422/kartor/A 27768-2026 karta.png", "A 27768-2026")</f>
        <v/>
      </c>
      <c r="Y51">
        <f>HYPERLINK("https://klasma.github.io/Logging_2422/klagomål/A 27768-2026 FSC-klagomål.docx", "A 27768-2026")</f>
        <v/>
      </c>
      <c r="Z51">
        <f>HYPERLINK("https://klasma.github.io/Logging_2422/klagomålsmail/A 27768-2026 FSC-klagomål mail.docx", "A 27768-2026")</f>
        <v/>
      </c>
      <c r="AA51">
        <f>HYPERLINK("https://klasma.github.io/Logging_2422/tillsyn/A 27768-2026 tillsynsbegäran.docx", "A 27768-2026")</f>
        <v/>
      </c>
      <c r="AB51">
        <f>HYPERLINK("https://klasma.github.io/Logging_2422/tillsynsmail/A 27768-2026 tillsynsbegäran mail.docx", "A 27768-2026")</f>
        <v/>
      </c>
    </row>
    <row r="52" ht="15" customHeight="1">
      <c r="A52" t="inlineStr">
        <is>
          <t>A 45511-2021</t>
        </is>
      </c>
      <c r="B52" t="inlineStr">
        <is>
          <t>avverkningsanmälan</t>
        </is>
      </c>
      <c r="C52" t="inlineStr">
        <is>
          <t>Avverkning för annat ändamål</t>
        </is>
      </c>
      <c r="D52" s="1" t="n">
        <v>44440</v>
      </c>
      <c r="E52" s="1" t="n">
        <v>46220</v>
      </c>
      <c r="F52" t="inlineStr">
        <is>
          <t>VÄSTERBOTTENS LÄN</t>
        </is>
      </c>
      <c r="G52" t="inlineStr">
        <is>
          <t>SORSELE</t>
        </is>
      </c>
      <c r="I52" t="n">
        <v>2.7</v>
      </c>
      <c r="J52" t="n">
        <v>1</v>
      </c>
      <c r="K52" t="n">
        <v>0</v>
      </c>
      <c r="L52" t="n">
        <v>1</v>
      </c>
      <c r="M52" t="n">
        <v>0</v>
      </c>
      <c r="N52" t="n">
        <v>0</v>
      </c>
      <c r="O52" t="n">
        <v>0</v>
      </c>
      <c r="P52" t="n">
        <v>0</v>
      </c>
      <c r="Q52" t="n">
        <v>1</v>
      </c>
      <c r="R52" t="n">
        <v>0</v>
      </c>
      <c r="S52" t="n">
        <v>1</v>
      </c>
      <c r="T52" t="n">
        <v>1</v>
      </c>
      <c r="U52" s="2" t="inlineStr">
        <is>
          <t>Tretåig hackspett</t>
        </is>
      </c>
      <c r="V52">
        <f>HYPERLINK("https://klasma.github.io/Logging_2422/artfynd/A 45511-2021 artfynd.xlsx", "A 45511-2021")</f>
        <v/>
      </c>
      <c r="W52">
        <f>HYPERLINK("https://klasma.github.io/Logging_2422/kartor/A 45511-2021 karta.png", "A 45511-2021")</f>
        <v/>
      </c>
      <c r="Y52">
        <f>HYPERLINK("https://klasma.github.io/Logging_2422/klagomål/A 45511-2021 FSC-klagomål.docx", "A 45511-2021")</f>
        <v/>
      </c>
      <c r="Z52">
        <f>HYPERLINK("https://klasma.github.io/Logging_2422/klagomålsmail/A 45511-2021 FSC-klagomål mail.docx", "A 45511-2021")</f>
        <v/>
      </c>
      <c r="AA52">
        <f>HYPERLINK("https://klasma.github.io/Logging_2422/tillsyn/A 45511-2021 tillsynsbegäran.docx", "A 45511-2021")</f>
        <v/>
      </c>
      <c r="AB52">
        <f>HYPERLINK("https://klasma.github.io/Logging_2422/tillsynsmail/A 45511-2021 tillsynsbegäran mail.docx", "A 45511-2021")</f>
        <v/>
      </c>
      <c r="AC52">
        <f>HYPERLINK("https://klasma.github.io/Logging_2422/fåglar/A 45511-2021 prioriterade fågelarter.docx", "A 45511-2021")</f>
        <v/>
      </c>
    </row>
    <row r="53" ht="15" customHeight="1">
      <c r="A53" t="inlineStr">
        <is>
          <t>A 40471-2024</t>
        </is>
      </c>
      <c r="B53" t="inlineStr">
        <is>
          <t>avverkningsanmälan</t>
        </is>
      </c>
      <c r="C53" t="inlineStr">
        <is>
          <t>Föryngringsavverkning</t>
        </is>
      </c>
      <c r="D53" s="1" t="n">
        <v>45555</v>
      </c>
      <c r="E53" s="1" t="n">
        <v>46220</v>
      </c>
      <c r="F53" t="inlineStr">
        <is>
          <t>VÄSTERBOTTENS LÄN</t>
        </is>
      </c>
      <c r="G53" t="inlineStr">
        <is>
          <t>SORSELE</t>
        </is>
      </c>
      <c r="H53" t="inlineStr">
        <is>
          <t>SCA</t>
        </is>
      </c>
      <c r="I53" t="n">
        <v>1.3</v>
      </c>
      <c r="J53" t="n">
        <v>1</v>
      </c>
      <c r="K53" t="n">
        <v>0</v>
      </c>
      <c r="L53" t="n">
        <v>1</v>
      </c>
      <c r="M53" t="n">
        <v>0</v>
      </c>
      <c r="N53" t="n">
        <v>0</v>
      </c>
      <c r="O53" t="n">
        <v>0</v>
      </c>
      <c r="P53" t="n">
        <v>0</v>
      </c>
      <c r="Q53" t="n">
        <v>1</v>
      </c>
      <c r="R53" t="n">
        <v>0</v>
      </c>
      <c r="S53" t="n">
        <v>1</v>
      </c>
      <c r="T53" t="n">
        <v>1</v>
      </c>
      <c r="U53" s="2" t="inlineStr">
        <is>
          <t>Lavskrika</t>
        </is>
      </c>
      <c r="V53">
        <f>HYPERLINK("https://klasma.github.io/Logging_2422/artfynd/A 40471-2024 artfynd.xlsx", "A 40471-2024")</f>
        <v/>
      </c>
      <c r="W53">
        <f>HYPERLINK("https://klasma.github.io/Logging_2422/kartor/A 40471-2024 karta.png", "A 40471-2024")</f>
        <v/>
      </c>
      <c r="Y53">
        <f>HYPERLINK("https://klasma.github.io/Logging_2422/klagomål/A 40471-2024 FSC-klagomål.docx", "A 40471-2024")</f>
        <v/>
      </c>
      <c r="Z53">
        <f>HYPERLINK("https://klasma.github.io/Logging_2422/klagomålsmail/A 40471-2024 FSC-klagomål mail.docx", "A 40471-2024")</f>
        <v/>
      </c>
      <c r="AA53">
        <f>HYPERLINK("https://klasma.github.io/Logging_2422/tillsyn/A 40471-2024 tillsynsbegäran.docx", "A 40471-2024")</f>
        <v/>
      </c>
      <c r="AB53">
        <f>HYPERLINK("https://klasma.github.io/Logging_2422/tillsynsmail/A 40471-2024 tillsynsbegäran mail.docx", "A 40471-2024")</f>
        <v/>
      </c>
      <c r="AC53">
        <f>HYPERLINK("https://klasma.github.io/Logging_2422/fåglar/A 40471-2024 prioriterade fågelarter.docx", "A 40471-2024")</f>
        <v/>
      </c>
    </row>
    <row r="54" ht="15" customHeight="1">
      <c r="A54" t="inlineStr">
        <is>
          <t>A 30558-2025</t>
        </is>
      </c>
      <c r="B54" t="inlineStr">
        <is>
          <t>avverkningsanmälan</t>
        </is>
      </c>
      <c r="C54" t="inlineStr">
        <is>
          <t>Föryngringsavverkning</t>
        </is>
      </c>
      <c r="D54" s="1" t="n">
        <v>45831</v>
      </c>
      <c r="E54" s="1" t="n">
        <v>46220</v>
      </c>
      <c r="F54" t="inlineStr">
        <is>
          <t>VÄSTERBOTTENS LÄN</t>
        </is>
      </c>
      <c r="G54" t="inlineStr">
        <is>
          <t>SORSELE</t>
        </is>
      </c>
      <c r="I54" t="n">
        <v>8.1</v>
      </c>
      <c r="J54" t="n">
        <v>1</v>
      </c>
      <c r="K54" t="n">
        <v>0</v>
      </c>
      <c r="L54" t="n">
        <v>1</v>
      </c>
      <c r="M54" t="n">
        <v>0</v>
      </c>
      <c r="N54" t="n">
        <v>0</v>
      </c>
      <c r="O54" t="n">
        <v>0</v>
      </c>
      <c r="P54" t="n">
        <v>0</v>
      </c>
      <c r="Q54" t="n">
        <v>1</v>
      </c>
      <c r="R54" t="n">
        <v>0</v>
      </c>
      <c r="S54" t="n">
        <v>1</v>
      </c>
      <c r="T54" t="n">
        <v>1</v>
      </c>
      <c r="U54" s="2" t="inlineStr">
        <is>
          <t>Lavskrika</t>
        </is>
      </c>
      <c r="V54">
        <f>HYPERLINK("https://klasma.github.io/Logging_2422/artfynd/A 30558-2025 artfynd.xlsx", "A 30558-2025")</f>
        <v/>
      </c>
      <c r="W54">
        <f>HYPERLINK("https://klasma.github.io/Logging_2422/kartor/A 30558-2025 karta.png", "A 30558-2025")</f>
        <v/>
      </c>
      <c r="Y54">
        <f>HYPERLINK("https://klasma.github.io/Logging_2422/klagomål/A 30558-2025 FSC-klagomål.docx", "A 30558-2025")</f>
        <v/>
      </c>
      <c r="Z54">
        <f>HYPERLINK("https://klasma.github.io/Logging_2422/klagomålsmail/A 30558-2025 FSC-klagomål mail.docx", "A 30558-2025")</f>
        <v/>
      </c>
      <c r="AA54">
        <f>HYPERLINK("https://klasma.github.io/Logging_2422/tillsyn/A 30558-2025 tillsynsbegäran.docx", "A 30558-2025")</f>
        <v/>
      </c>
      <c r="AB54">
        <f>HYPERLINK("https://klasma.github.io/Logging_2422/tillsynsmail/A 30558-2025 tillsynsbegäran mail.docx", "A 30558-2025")</f>
        <v/>
      </c>
      <c r="AC54">
        <f>HYPERLINK("https://klasma.github.io/Logging_2422/fåglar/A 30558-2025 prioriterade fågelarter.docx", "A 30558-2025")</f>
        <v/>
      </c>
    </row>
    <row r="55" ht="15" customHeight="1">
      <c r="A55" t="inlineStr">
        <is>
          <t>A 23232-2022</t>
        </is>
      </c>
      <c r="B55" t="inlineStr">
        <is>
          <t>avverkningsanmälan</t>
        </is>
      </c>
      <c r="C55" t="inlineStr">
        <is>
          <t>Föryngringsavverkning</t>
        </is>
      </c>
      <c r="D55" s="1" t="n">
        <v>44719</v>
      </c>
      <c r="E55" s="1" t="n">
        <v>46220</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s="2" t="inlineStr">
        <is>
          <t>Tretåig hackspett</t>
        </is>
      </c>
      <c r="V55">
        <f>HYPERLINK("https://klasma.github.io/Logging_2422/artfynd/A 23232-2022 artfynd.xlsx", "A 23232-2022")</f>
        <v/>
      </c>
      <c r="W55">
        <f>HYPERLINK("https://klasma.github.io/Logging_2422/kartor/A 23232-2022 karta.png", "A 23232-2022")</f>
        <v/>
      </c>
      <c r="Y55">
        <f>HYPERLINK("https://klasma.github.io/Logging_2422/klagomål/A 23232-2022 FSC-klagomål.docx", "A 23232-2022")</f>
        <v/>
      </c>
      <c r="Z55">
        <f>HYPERLINK("https://klasma.github.io/Logging_2422/klagomålsmail/A 23232-2022 FSC-klagomål mail.docx", "A 23232-2022")</f>
        <v/>
      </c>
      <c r="AA55">
        <f>HYPERLINK("https://klasma.github.io/Logging_2422/tillsyn/A 23232-2022 tillsynsbegäran.docx", "A 23232-2022")</f>
        <v/>
      </c>
      <c r="AB55">
        <f>HYPERLINK("https://klasma.github.io/Logging_2422/tillsynsmail/A 23232-2022 tillsynsbegäran mail.docx", "A 23232-2022")</f>
        <v/>
      </c>
      <c r="AC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46220</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s="2" t="inlineStr">
        <is>
          <t>Lunglav</t>
        </is>
      </c>
      <c r="V56">
        <f>HYPERLINK("https://klasma.github.io/Logging_2422/artfynd/A 45473-2025 artfynd.xlsx", "A 45473-2025")</f>
        <v/>
      </c>
      <c r="W56">
        <f>HYPERLINK("https://klasma.github.io/Logging_2422/kartor/A 45473-2025 karta.png", "A 45473-2025")</f>
        <v/>
      </c>
      <c r="Y56">
        <f>HYPERLINK("https://klasma.github.io/Logging_2422/klagomål/A 45473-2025 FSC-klagomål.docx", "A 45473-2025")</f>
        <v/>
      </c>
      <c r="Z56">
        <f>HYPERLINK("https://klasma.github.io/Logging_2422/klagomålsmail/A 45473-2025 FSC-klagomål mail.docx", "A 45473-2025")</f>
        <v/>
      </c>
      <c r="AA56">
        <f>HYPERLINK("https://klasma.github.io/Logging_2422/tillsyn/A 45473-2025 tillsynsbegäran.docx", "A 45473-2025")</f>
        <v/>
      </c>
      <c r="AB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46220</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s="2" t="inlineStr">
        <is>
          <t>Utter</t>
        </is>
      </c>
      <c r="V57">
        <f>HYPERLINK("https://klasma.github.io/Logging_2422/artfynd/A 34888-2025 artfynd.xlsx", "A 34888-2025")</f>
        <v/>
      </c>
      <c r="W57">
        <f>HYPERLINK("https://klasma.github.io/Logging_2422/kartor/A 34888-2025 karta.png", "A 34888-2025")</f>
        <v/>
      </c>
      <c r="Y57">
        <f>HYPERLINK("https://klasma.github.io/Logging_2422/klagomål/A 34888-2025 FSC-klagomål.docx", "A 34888-2025")</f>
        <v/>
      </c>
      <c r="Z57">
        <f>HYPERLINK("https://klasma.github.io/Logging_2422/klagomålsmail/A 34888-2025 FSC-klagomål mail.docx", "A 34888-2025")</f>
        <v/>
      </c>
      <c r="AA57">
        <f>HYPERLINK("https://klasma.github.io/Logging_2422/tillsyn/A 34888-2025 tillsynsbegäran.docx", "A 34888-2025")</f>
        <v/>
      </c>
      <c r="AB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46220</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s="2" t="inlineStr">
        <is>
          <t>Jämtlandsmaskros</t>
        </is>
      </c>
      <c r="V58">
        <f>HYPERLINK("https://klasma.github.io/Logging_2422/artfynd/A 58147-2025 artfynd.xlsx", "A 58147-2025")</f>
        <v/>
      </c>
      <c r="W58">
        <f>HYPERLINK("https://klasma.github.io/Logging_2422/kartor/A 58147-2025 karta.png", "A 58147-2025")</f>
        <v/>
      </c>
      <c r="Y58">
        <f>HYPERLINK("https://klasma.github.io/Logging_2422/klagomål/A 58147-2025 FSC-klagomål.docx", "A 58147-2025")</f>
        <v/>
      </c>
      <c r="Z58">
        <f>HYPERLINK("https://klasma.github.io/Logging_2422/klagomålsmail/A 58147-2025 FSC-klagomål mail.docx", "A 58147-2025")</f>
        <v/>
      </c>
      <c r="AA58">
        <f>HYPERLINK("https://klasma.github.io/Logging_2422/tillsyn/A 58147-2025 tillsynsbegäran.docx", "A 58147-2025")</f>
        <v/>
      </c>
      <c r="AB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46220</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s="2" t="inlineStr">
        <is>
          <t>Utter</t>
        </is>
      </c>
      <c r="V59">
        <f>HYPERLINK("https://klasma.github.io/Logging_2422/artfynd/A 72892-2021 artfynd.xlsx", "A 72892-2021")</f>
        <v/>
      </c>
      <c r="W59">
        <f>HYPERLINK("https://klasma.github.io/Logging_2422/kartor/A 72892-2021 karta.png", "A 72892-2021")</f>
        <v/>
      </c>
      <c r="Y59">
        <f>HYPERLINK("https://klasma.github.io/Logging_2422/klagomål/A 72892-2021 FSC-klagomål.docx", "A 72892-2021")</f>
        <v/>
      </c>
      <c r="Z59">
        <f>HYPERLINK("https://klasma.github.io/Logging_2422/klagomålsmail/A 72892-2021 FSC-klagomål mail.docx", "A 72892-2021")</f>
        <v/>
      </c>
      <c r="AA59">
        <f>HYPERLINK("https://klasma.github.io/Logging_2422/tillsyn/A 72892-2021 tillsynsbegäran.docx", "A 72892-2021")</f>
        <v/>
      </c>
      <c r="AB59">
        <f>HYPERLINK("https://klasma.github.io/Logging_2422/tillsynsmail/A 72892-2021 tillsynsbegäran mail.docx", "A 72892-2021")</f>
        <v/>
      </c>
    </row>
    <row r="60" ht="15" customHeight="1">
      <c r="A60" t="inlineStr">
        <is>
          <t>A 45515-2022</t>
        </is>
      </c>
      <c r="B60" t="inlineStr">
        <is>
          <t>avverkningsanmälan</t>
        </is>
      </c>
      <c r="C60" t="inlineStr">
        <is>
          <t>Föryngringsavverkning</t>
        </is>
      </c>
      <c r="D60" s="1" t="n">
        <v>44841</v>
      </c>
      <c r="E60" s="1" t="n">
        <v>46220</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s="2" t="inlineStr">
        <is>
          <t>Gränsticka</t>
        </is>
      </c>
      <c r="V60">
        <f>HYPERLINK("https://klasma.github.io/Logging_2422/artfynd/A 45515-2022 artfynd.xlsx", "A 45515-2022")</f>
        <v/>
      </c>
      <c r="W60">
        <f>HYPERLINK("https://klasma.github.io/Logging_2422/kartor/A 45515-2022 karta.png", "A 45515-2022")</f>
        <v/>
      </c>
      <c r="Y60">
        <f>HYPERLINK("https://klasma.github.io/Logging_2422/klagomål/A 45515-2022 FSC-klagomål.docx", "A 45515-2022")</f>
        <v/>
      </c>
      <c r="Z60">
        <f>HYPERLINK("https://klasma.github.io/Logging_2422/klagomålsmail/A 45515-2022 FSC-klagomål mail.docx", "A 45515-2022")</f>
        <v/>
      </c>
      <c r="AA60">
        <f>HYPERLINK("https://klasma.github.io/Logging_2422/tillsyn/A 45515-2022 tillsynsbegäran.docx", "A 45515-2022")</f>
        <v/>
      </c>
      <c r="AB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46220</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s="2" t="inlineStr">
        <is>
          <t>Vedticka</t>
        </is>
      </c>
      <c r="V61">
        <f>HYPERLINK("https://klasma.github.io/Logging_2422/artfynd/A 23330-2023 artfynd.xlsx", "A 23330-2023")</f>
        <v/>
      </c>
      <c r="W61">
        <f>HYPERLINK("https://klasma.github.io/Logging_2422/kartor/A 23330-2023 karta.png", "A 23330-2023")</f>
        <v/>
      </c>
      <c r="Y61">
        <f>HYPERLINK("https://klasma.github.io/Logging_2422/klagomål/A 23330-2023 FSC-klagomål.docx", "A 23330-2023")</f>
        <v/>
      </c>
      <c r="Z61">
        <f>HYPERLINK("https://klasma.github.io/Logging_2422/klagomålsmail/A 23330-2023 FSC-klagomål mail.docx", "A 23330-2023")</f>
        <v/>
      </c>
      <c r="AA61">
        <f>HYPERLINK("https://klasma.github.io/Logging_2422/tillsyn/A 23330-2023 tillsynsbegäran.docx", "A 23330-2023")</f>
        <v/>
      </c>
      <c r="AB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46220</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s="2" t="inlineStr">
        <is>
          <t>Tjäder</t>
        </is>
      </c>
      <c r="V62">
        <f>HYPERLINK("https://klasma.github.io/Logging_2422/artfynd/A 8508-2025 artfynd.xlsx", "A 8508-2025")</f>
        <v/>
      </c>
      <c r="W62">
        <f>HYPERLINK("https://klasma.github.io/Logging_2422/kartor/A 8508-2025 karta.png", "A 8508-2025")</f>
        <v/>
      </c>
      <c r="Y62">
        <f>HYPERLINK("https://klasma.github.io/Logging_2422/klagomål/A 8508-2025 FSC-klagomål.docx", "A 8508-2025")</f>
        <v/>
      </c>
      <c r="Z62">
        <f>HYPERLINK("https://klasma.github.io/Logging_2422/klagomålsmail/A 8508-2025 FSC-klagomål mail.docx", "A 8508-2025")</f>
        <v/>
      </c>
      <c r="AA62">
        <f>HYPERLINK("https://klasma.github.io/Logging_2422/tillsyn/A 8508-2025 tillsynsbegäran.docx", "A 8508-2025")</f>
        <v/>
      </c>
      <c r="AB62">
        <f>HYPERLINK("https://klasma.github.io/Logging_2422/tillsynsmail/A 8508-2025 tillsynsbegäran mail.docx", "A 8508-2025")</f>
        <v/>
      </c>
      <c r="AC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46220</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s="2" t="inlineStr">
        <is>
          <t>Harticka</t>
        </is>
      </c>
      <c r="V63">
        <f>HYPERLINK("https://klasma.github.io/Logging_2422/artfynd/A 24332-2023 artfynd.xlsx", "A 24332-2023")</f>
        <v/>
      </c>
      <c r="W63">
        <f>HYPERLINK("https://klasma.github.io/Logging_2422/kartor/A 24332-2023 karta.png", "A 24332-2023")</f>
        <v/>
      </c>
      <c r="Y63">
        <f>HYPERLINK("https://klasma.github.io/Logging_2422/klagomål/A 24332-2023 FSC-klagomål.docx", "A 24332-2023")</f>
        <v/>
      </c>
      <c r="Z63">
        <f>HYPERLINK("https://klasma.github.io/Logging_2422/klagomålsmail/A 24332-2023 FSC-klagomål mail.docx", "A 24332-2023")</f>
        <v/>
      </c>
      <c r="AA63">
        <f>HYPERLINK("https://klasma.github.io/Logging_2422/tillsyn/A 24332-2023 tillsynsbegäran.docx", "A 24332-2023")</f>
        <v/>
      </c>
      <c r="AB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46220</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s="2" t="inlineStr"/>
    </row>
    <row r="65" ht="15" customHeight="1">
      <c r="A65" t="inlineStr">
        <is>
          <t>A 8030-2022</t>
        </is>
      </c>
      <c r="B65" t="inlineStr">
        <is>
          <t>avverkningsanmälan</t>
        </is>
      </c>
      <c r="C65" t="inlineStr">
        <is>
          <t>Föryngringsavverkning</t>
        </is>
      </c>
      <c r="D65" s="1" t="n">
        <v>44606</v>
      </c>
      <c r="E65" s="1" t="n">
        <v>46220</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s="2" t="inlineStr"/>
    </row>
    <row r="66" ht="15" customHeight="1">
      <c r="A66" t="inlineStr">
        <is>
          <t>A 73427-2021</t>
        </is>
      </c>
      <c r="B66" t="inlineStr">
        <is>
          <t>avverkningsanmälan</t>
        </is>
      </c>
      <c r="C66" t="inlineStr">
        <is>
          <t>Föryngringsavverkning</t>
        </is>
      </c>
      <c r="D66" s="1" t="n">
        <v>44550</v>
      </c>
      <c r="E66" s="1" t="n">
        <v>46220</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s="2" t="inlineStr"/>
    </row>
    <row r="67" ht="15" customHeight="1">
      <c r="A67" t="inlineStr">
        <is>
          <t>A 8030-2022</t>
        </is>
      </c>
      <c r="B67" t="inlineStr">
        <is>
          <t>avverkningsanmälan</t>
        </is>
      </c>
      <c r="C67" t="inlineStr">
        <is>
          <t>Föryngringsavverkning</t>
        </is>
      </c>
      <c r="D67" s="1" t="n">
        <v>44606</v>
      </c>
      <c r="E67" s="1" t="n">
        <v>46220</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s="2" t="inlineStr"/>
    </row>
    <row r="68" ht="15" customHeight="1">
      <c r="A68" t="inlineStr">
        <is>
          <t>A 62038-2021</t>
        </is>
      </c>
      <c r="B68" t="inlineStr">
        <is>
          <t>avverkningsanmälan</t>
        </is>
      </c>
      <c r="C68" t="inlineStr">
        <is>
          <t>Föryngringsavverkning</t>
        </is>
      </c>
      <c r="D68" s="1" t="n">
        <v>44501</v>
      </c>
      <c r="E68" s="1" t="n">
        <v>46220</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s="2" t="inlineStr"/>
    </row>
    <row r="69" ht="15" customHeight="1">
      <c r="A69" t="inlineStr">
        <is>
          <t>A 51934-2021</t>
        </is>
      </c>
      <c r="B69" t="inlineStr">
        <is>
          <t>avverkningsanmälan</t>
        </is>
      </c>
      <c r="C69" t="inlineStr">
        <is>
          <t>Föryngringsavverkning</t>
        </is>
      </c>
      <c r="D69" s="1" t="n">
        <v>44462</v>
      </c>
      <c r="E69" s="1" t="n">
        <v>46220</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s="2" t="inlineStr"/>
    </row>
    <row r="70" ht="15" customHeight="1">
      <c r="A70" t="inlineStr">
        <is>
          <t>A 4944-2023</t>
        </is>
      </c>
      <c r="B70" t="inlineStr">
        <is>
          <t>avverkningsanmälan</t>
        </is>
      </c>
      <c r="C70" t="inlineStr">
        <is>
          <t>Föryngringsavverkning</t>
        </is>
      </c>
      <c r="D70" s="1" t="n">
        <v>44958</v>
      </c>
      <c r="E70" s="1" t="n">
        <v>46220</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s="2" t="inlineStr"/>
    </row>
    <row r="71" ht="15" customHeight="1">
      <c r="A71" t="inlineStr">
        <is>
          <t>A 13248-2023</t>
        </is>
      </c>
      <c r="B71" t="inlineStr">
        <is>
          <t>avverkningsanmälan</t>
        </is>
      </c>
      <c r="C71" t="inlineStr">
        <is>
          <t>Föryngringsavverkning</t>
        </is>
      </c>
      <c r="D71" s="1" t="n">
        <v>45002</v>
      </c>
      <c r="E71" s="1" t="n">
        <v>46220</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s="2" t="inlineStr"/>
    </row>
    <row r="72" ht="15" customHeight="1">
      <c r="A72" t="inlineStr">
        <is>
          <t>A 64384-2023</t>
        </is>
      </c>
      <c r="B72" t="inlineStr">
        <is>
          <t>avverkningsanmälan</t>
        </is>
      </c>
      <c r="C72" t="inlineStr">
        <is>
          <t>Föryngringsavverkning</t>
        </is>
      </c>
      <c r="D72" s="1" t="n">
        <v>45280</v>
      </c>
      <c r="E72" s="1" t="n">
        <v>46220</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s="2" t="inlineStr"/>
    </row>
    <row r="73" ht="15" customHeight="1">
      <c r="A73" t="inlineStr">
        <is>
          <t>A 29847-2023</t>
        </is>
      </c>
      <c r="B73" t="inlineStr">
        <is>
          <t>avverkningsanmälan</t>
        </is>
      </c>
      <c r="C73" t="inlineStr">
        <is>
          <t>Föryngringsavverkning</t>
        </is>
      </c>
      <c r="D73" s="1" t="n">
        <v>45107</v>
      </c>
      <c r="E73" s="1" t="n">
        <v>46220</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s="2" t="inlineStr"/>
    </row>
    <row r="74" ht="15" customHeight="1">
      <c r="A74" t="inlineStr">
        <is>
          <t>A 38408-2023</t>
        </is>
      </c>
      <c r="B74" t="inlineStr">
        <is>
          <t>avverkningsanmälan</t>
        </is>
      </c>
      <c r="C74" t="inlineStr">
        <is>
          <t>Föryngringsavverkning</t>
        </is>
      </c>
      <c r="D74" s="1" t="n">
        <v>45160</v>
      </c>
      <c r="E74" s="1" t="n">
        <v>46220</v>
      </c>
      <c r="F74" t="inlineStr">
        <is>
          <t>VÄSTERBOTTENS LÄN</t>
        </is>
      </c>
      <c r="G74" t="inlineStr">
        <is>
          <t>SORSELE</t>
        </is>
      </c>
      <c r="H74" t="inlineStr">
        <is>
          <t>Kommuner</t>
        </is>
      </c>
      <c r="I74" t="n">
        <v>7</v>
      </c>
      <c r="J74" t="n">
        <v>0</v>
      </c>
      <c r="K74" t="n">
        <v>0</v>
      </c>
      <c r="L74" t="n">
        <v>0</v>
      </c>
      <c r="M74" t="n">
        <v>0</v>
      </c>
      <c r="N74" t="n">
        <v>0</v>
      </c>
      <c r="O74" t="n">
        <v>0</v>
      </c>
      <c r="P74" t="n">
        <v>0</v>
      </c>
      <c r="Q74" t="n">
        <v>0</v>
      </c>
      <c r="R74" t="n">
        <v>0</v>
      </c>
      <c r="S74" t="n">
        <v>0</v>
      </c>
      <c r="T74" t="n">
        <v>0</v>
      </c>
      <c r="U74" s="2" t="inlineStr"/>
    </row>
    <row r="75" ht="15" customHeight="1">
      <c r="A75" t="inlineStr">
        <is>
          <t>A 58824-2023</t>
        </is>
      </c>
      <c r="B75" t="inlineStr">
        <is>
          <t>avverkningsanmälan</t>
        </is>
      </c>
      <c r="C75" t="inlineStr">
        <is>
          <t>Föryngringsavverkning</t>
        </is>
      </c>
      <c r="D75" s="1" t="n">
        <v>45247</v>
      </c>
      <c r="E75" s="1" t="n">
        <v>46220</v>
      </c>
      <c r="F75" t="inlineStr">
        <is>
          <t>VÄSTERBOTTENS LÄN</t>
        </is>
      </c>
      <c r="G75" t="inlineStr">
        <is>
          <t>SORSELE</t>
        </is>
      </c>
      <c r="I75" t="n">
        <v>1.2</v>
      </c>
      <c r="J75" t="n">
        <v>0</v>
      </c>
      <c r="K75" t="n">
        <v>0</v>
      </c>
      <c r="L75" t="n">
        <v>0</v>
      </c>
      <c r="M75" t="n">
        <v>0</v>
      </c>
      <c r="N75" t="n">
        <v>0</v>
      </c>
      <c r="O75" t="n">
        <v>0</v>
      </c>
      <c r="P75" t="n">
        <v>0</v>
      </c>
      <c r="Q75" t="n">
        <v>0</v>
      </c>
      <c r="R75" t="n">
        <v>0</v>
      </c>
      <c r="S75" t="n">
        <v>0</v>
      </c>
      <c r="T75" t="n">
        <v>0</v>
      </c>
      <c r="U75" s="2" t="inlineStr"/>
    </row>
    <row r="76" ht="15" customHeight="1">
      <c r="A76" t="inlineStr">
        <is>
          <t>A 48924-2024</t>
        </is>
      </c>
      <c r="B76" t="inlineStr">
        <is>
          <t>avverkningsanmälan</t>
        </is>
      </c>
      <c r="C76" t="inlineStr">
        <is>
          <t>Föryngringsavverkning</t>
        </is>
      </c>
      <c r="D76" s="1" t="n">
        <v>45594</v>
      </c>
      <c r="E76" s="1" t="n">
        <v>46220</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s="2" t="inlineStr"/>
    </row>
    <row r="77" ht="15" customHeight="1">
      <c r="A77" t="inlineStr">
        <is>
          <t>A 48045-2024</t>
        </is>
      </c>
      <c r="B77" t="inlineStr">
        <is>
          <t>avverkningsanmälan</t>
        </is>
      </c>
      <c r="C77" t="inlineStr">
        <is>
          <t>Föryngringsavverkning</t>
        </is>
      </c>
      <c r="D77" s="1" t="n">
        <v>45589</v>
      </c>
      <c r="E77" s="1" t="n">
        <v>46220</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s="2" t="inlineStr"/>
    </row>
    <row r="78" ht="15" customHeight="1">
      <c r="A78" t="inlineStr">
        <is>
          <t>A 11975-2025</t>
        </is>
      </c>
      <c r="B78" t="inlineStr">
        <is>
          <t>avverkningsanmälan</t>
        </is>
      </c>
      <c r="C78" t="inlineStr">
        <is>
          <t>Föryngringsavverkning</t>
        </is>
      </c>
      <c r="D78" s="1" t="n">
        <v>45728</v>
      </c>
      <c r="E78" s="1" t="n">
        <v>46220</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s="2" t="inlineStr"/>
    </row>
    <row r="79" ht="15" customHeight="1">
      <c r="A79" t="inlineStr">
        <is>
          <t>A 38946-2024</t>
        </is>
      </c>
      <c r="B79" t="inlineStr">
        <is>
          <t>avverkningsanmälan</t>
        </is>
      </c>
      <c r="C79" t="inlineStr">
        <is>
          <t>Föryngringsavverkning</t>
        </is>
      </c>
      <c r="D79" s="1" t="n">
        <v>45548</v>
      </c>
      <c r="E79" s="1" t="n">
        <v>46220</v>
      </c>
      <c r="F79" t="inlineStr">
        <is>
          <t>VÄSTERBOTTENS LÄN</t>
        </is>
      </c>
      <c r="G79" t="inlineStr">
        <is>
          <t>SORSELE</t>
        </is>
      </c>
      <c r="H79" t="inlineStr">
        <is>
          <t>SCA</t>
        </is>
      </c>
      <c r="I79" t="n">
        <v>0.9</v>
      </c>
      <c r="J79" t="n">
        <v>0</v>
      </c>
      <c r="K79" t="n">
        <v>0</v>
      </c>
      <c r="L79" t="n">
        <v>0</v>
      </c>
      <c r="M79" t="n">
        <v>0</v>
      </c>
      <c r="N79" t="n">
        <v>0</v>
      </c>
      <c r="O79" t="n">
        <v>0</v>
      </c>
      <c r="P79" t="n">
        <v>0</v>
      </c>
      <c r="Q79" t="n">
        <v>0</v>
      </c>
      <c r="R79" t="n">
        <v>0</v>
      </c>
      <c r="S79" t="n">
        <v>0</v>
      </c>
      <c r="T79" t="n">
        <v>0</v>
      </c>
      <c r="U79" s="2" t="inlineStr"/>
    </row>
    <row r="80" ht="15" customHeight="1">
      <c r="A80" t="inlineStr">
        <is>
          <t>A 37038-2023</t>
        </is>
      </c>
      <c r="B80" t="inlineStr">
        <is>
          <t>avverkningsanmälan</t>
        </is>
      </c>
      <c r="C80" t="inlineStr">
        <is>
          <t>Föryngringsavverkning</t>
        </is>
      </c>
      <c r="D80" s="1" t="n">
        <v>45155</v>
      </c>
      <c r="E80" s="1" t="n">
        <v>46220</v>
      </c>
      <c r="F80" t="inlineStr">
        <is>
          <t>VÄSTERBOTTENS LÄN</t>
        </is>
      </c>
      <c r="G80" t="inlineStr">
        <is>
          <t>SORSELE</t>
        </is>
      </c>
      <c r="H80" t="inlineStr">
        <is>
          <t>Kyrkan</t>
        </is>
      </c>
      <c r="I80" t="n">
        <v>21</v>
      </c>
      <c r="J80" t="n">
        <v>0</v>
      </c>
      <c r="K80" t="n">
        <v>0</v>
      </c>
      <c r="L80" t="n">
        <v>0</v>
      </c>
      <c r="M80" t="n">
        <v>0</v>
      </c>
      <c r="N80" t="n">
        <v>0</v>
      </c>
      <c r="O80" t="n">
        <v>0</v>
      </c>
      <c r="P80" t="n">
        <v>0</v>
      </c>
      <c r="Q80" t="n">
        <v>0</v>
      </c>
      <c r="R80" t="n">
        <v>0</v>
      </c>
      <c r="S80" t="n">
        <v>0</v>
      </c>
      <c r="T80" t="n">
        <v>0</v>
      </c>
      <c r="U80" s="2" t="inlineStr"/>
    </row>
    <row r="81" ht="15" customHeight="1">
      <c r="A81" t="inlineStr">
        <is>
          <t>A 60892-2022</t>
        </is>
      </c>
      <c r="B81" t="inlineStr">
        <is>
          <t>avverkningsanmälan</t>
        </is>
      </c>
      <c r="C81" t="inlineStr">
        <is>
          <t>Föryngringsavverkning</t>
        </is>
      </c>
      <c r="D81" s="1" t="n">
        <v>44908</v>
      </c>
      <c r="E81" s="1" t="n">
        <v>46220</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s="2" t="inlineStr"/>
    </row>
    <row r="82" ht="15" customHeight="1">
      <c r="A82" t="inlineStr">
        <is>
          <t>A 56415-2022</t>
        </is>
      </c>
      <c r="B82" t="inlineStr">
        <is>
          <t>avverkningsanmälan</t>
        </is>
      </c>
      <c r="C82" t="inlineStr">
        <is>
          <t>Föryngringsavverkning</t>
        </is>
      </c>
      <c r="D82" s="1" t="n">
        <v>44890</v>
      </c>
      <c r="E82" s="1" t="n">
        <v>46220</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s="2" t="inlineStr"/>
    </row>
    <row r="83" ht="15" customHeight="1">
      <c r="A83" t="inlineStr">
        <is>
          <t>A 69703-2021</t>
        </is>
      </c>
      <c r="B83" t="inlineStr">
        <is>
          <t>avverkningsanmälan</t>
        </is>
      </c>
      <c r="C83" t="inlineStr">
        <is>
          <t>Föryngringsavverkning</t>
        </is>
      </c>
      <c r="D83" s="1" t="n">
        <v>44532</v>
      </c>
      <c r="E83" s="1" t="n">
        <v>46220</v>
      </c>
      <c r="F83" t="inlineStr">
        <is>
          <t>VÄSTERBOTTENS LÄN</t>
        </is>
      </c>
      <c r="G83" t="inlineStr">
        <is>
          <t>SORSELE</t>
        </is>
      </c>
      <c r="I83" t="n">
        <v>11.2</v>
      </c>
      <c r="J83" t="n">
        <v>0</v>
      </c>
      <c r="K83" t="n">
        <v>0</v>
      </c>
      <c r="L83" t="n">
        <v>0</v>
      </c>
      <c r="M83" t="n">
        <v>0</v>
      </c>
      <c r="N83" t="n">
        <v>0</v>
      </c>
      <c r="O83" t="n">
        <v>0</v>
      </c>
      <c r="P83" t="n">
        <v>0</v>
      </c>
      <c r="Q83" t="n">
        <v>0</v>
      </c>
      <c r="R83" t="n">
        <v>0</v>
      </c>
      <c r="S83" t="n">
        <v>0</v>
      </c>
      <c r="T83" t="n">
        <v>0</v>
      </c>
      <c r="U83" s="2" t="inlineStr"/>
    </row>
    <row r="84" ht="15" customHeight="1">
      <c r="A84" t="inlineStr">
        <is>
          <t>A 59082-2022</t>
        </is>
      </c>
      <c r="B84" t="inlineStr">
        <is>
          <t>avverkningsanmälan</t>
        </is>
      </c>
      <c r="C84" t="inlineStr">
        <is>
          <t>Föryngringsavverkning</t>
        </is>
      </c>
      <c r="D84" s="1" t="n">
        <v>44897</v>
      </c>
      <c r="E84" s="1" t="n">
        <v>46220</v>
      </c>
      <c r="F84" t="inlineStr">
        <is>
          <t>VÄSTERBOTTENS LÄN</t>
        </is>
      </c>
      <c r="G84" t="inlineStr">
        <is>
          <t>SORSELE</t>
        </is>
      </c>
      <c r="I84" t="n">
        <v>1</v>
      </c>
      <c r="J84" t="n">
        <v>0</v>
      </c>
      <c r="K84" t="n">
        <v>0</v>
      </c>
      <c r="L84" t="n">
        <v>0</v>
      </c>
      <c r="M84" t="n">
        <v>0</v>
      </c>
      <c r="N84" t="n">
        <v>0</v>
      </c>
      <c r="O84" t="n">
        <v>0</v>
      </c>
      <c r="P84" t="n">
        <v>0</v>
      </c>
      <c r="Q84" t="n">
        <v>0</v>
      </c>
      <c r="R84" t="n">
        <v>0</v>
      </c>
      <c r="S84" t="n">
        <v>0</v>
      </c>
      <c r="T84" t="n">
        <v>0</v>
      </c>
      <c r="U84" s="2" t="inlineStr"/>
    </row>
    <row r="85" ht="15" customHeight="1">
      <c r="A85" t="inlineStr">
        <is>
          <t>A 66440-2021</t>
        </is>
      </c>
      <c r="B85" t="inlineStr">
        <is>
          <t>avverkningsanmälan</t>
        </is>
      </c>
      <c r="C85" t="inlineStr">
        <is>
          <t>Föryngringsavverkning</t>
        </is>
      </c>
      <c r="D85" s="1" t="n">
        <v>44518</v>
      </c>
      <c r="E85" s="1" t="n">
        <v>46220</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s="2" t="inlineStr"/>
    </row>
    <row r="86" ht="15" customHeight="1">
      <c r="A86" t="inlineStr">
        <is>
          <t>A 47980-2024</t>
        </is>
      </c>
      <c r="B86" t="inlineStr">
        <is>
          <t>avverkningsanmälan</t>
        </is>
      </c>
      <c r="C86" t="inlineStr">
        <is>
          <t>Föryngringsavverkning</t>
        </is>
      </c>
      <c r="D86" s="1" t="n">
        <v>45589</v>
      </c>
      <c r="E86" s="1" t="n">
        <v>46220</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s="2" t="inlineStr"/>
    </row>
    <row r="87" ht="15" customHeight="1">
      <c r="A87" t="inlineStr">
        <is>
          <t>A 45535-2022</t>
        </is>
      </c>
      <c r="B87" t="inlineStr">
        <is>
          <t>avverkningsanmälan</t>
        </is>
      </c>
      <c r="C87" t="inlineStr">
        <is>
          <t>Föryngringsavverkning</t>
        </is>
      </c>
      <c r="D87" s="1" t="n">
        <v>44841</v>
      </c>
      <c r="E87" s="1" t="n">
        <v>46220</v>
      </c>
      <c r="F87" t="inlineStr">
        <is>
          <t>VÄSTERBOTTENS LÄN</t>
        </is>
      </c>
      <c r="G87" t="inlineStr">
        <is>
          <t>SORSELE</t>
        </is>
      </c>
      <c r="I87" t="n">
        <v>82.3</v>
      </c>
      <c r="J87" t="n">
        <v>0</v>
      </c>
      <c r="K87" t="n">
        <v>0</v>
      </c>
      <c r="L87" t="n">
        <v>0</v>
      </c>
      <c r="M87" t="n">
        <v>0</v>
      </c>
      <c r="N87" t="n">
        <v>0</v>
      </c>
      <c r="O87" t="n">
        <v>0</v>
      </c>
      <c r="P87" t="n">
        <v>0</v>
      </c>
      <c r="Q87" t="n">
        <v>0</v>
      </c>
      <c r="R87" t="n">
        <v>0</v>
      </c>
      <c r="S87" t="n">
        <v>0</v>
      </c>
      <c r="T87" t="n">
        <v>0</v>
      </c>
      <c r="U87" s="2" t="inlineStr"/>
    </row>
    <row r="88" ht="15" customHeight="1">
      <c r="A88" t="inlineStr">
        <is>
          <t>A 54408-2023</t>
        </is>
      </c>
      <c r="B88" t="inlineStr">
        <is>
          <t>avverkningsanmälan</t>
        </is>
      </c>
      <c r="C88" t="inlineStr">
        <is>
          <t>Avverkning för annat ändamål</t>
        </is>
      </c>
      <c r="D88" s="1" t="n">
        <v>45226</v>
      </c>
      <c r="E88" s="1" t="n">
        <v>46220</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s="2" t="inlineStr"/>
    </row>
    <row r="89" ht="15" customHeight="1">
      <c r="A89" t="inlineStr">
        <is>
          <t>A 11320-2024</t>
        </is>
      </c>
      <c r="B89" t="inlineStr">
        <is>
          <t>avverkningsanmälan</t>
        </is>
      </c>
      <c r="C89" t="inlineStr">
        <is>
          <t>Föryngringsavverkning</t>
        </is>
      </c>
      <c r="D89" s="1" t="n">
        <v>45371</v>
      </c>
      <c r="E89" s="1" t="n">
        <v>46220</v>
      </c>
      <c r="F89" t="inlineStr">
        <is>
          <t>VÄSTERBOTTENS LÄN</t>
        </is>
      </c>
      <c r="G89" t="inlineStr">
        <is>
          <t>SORSELE</t>
        </is>
      </c>
      <c r="I89" t="n">
        <v>18.2</v>
      </c>
      <c r="J89" t="n">
        <v>0</v>
      </c>
      <c r="K89" t="n">
        <v>0</v>
      </c>
      <c r="L89" t="n">
        <v>0</v>
      </c>
      <c r="M89" t="n">
        <v>0</v>
      </c>
      <c r="N89" t="n">
        <v>0</v>
      </c>
      <c r="O89" t="n">
        <v>0</v>
      </c>
      <c r="P89" t="n">
        <v>0</v>
      </c>
      <c r="Q89" t="n">
        <v>0</v>
      </c>
      <c r="R89" t="n">
        <v>0</v>
      </c>
      <c r="S89" t="n">
        <v>0</v>
      </c>
      <c r="T89" t="n">
        <v>0</v>
      </c>
      <c r="U89" s="2" t="inlineStr"/>
    </row>
    <row r="90" ht="15" customHeight="1">
      <c r="A90" t="inlineStr">
        <is>
          <t>A 51394-2022</t>
        </is>
      </c>
      <c r="B90" t="inlineStr">
        <is>
          <t>avverkningsanmälan</t>
        </is>
      </c>
      <c r="C90" t="inlineStr">
        <is>
          <t>Föryngringsavverkning</t>
        </is>
      </c>
      <c r="D90" s="1" t="n">
        <v>44866</v>
      </c>
      <c r="E90" s="1" t="n">
        <v>46220</v>
      </c>
      <c r="F90" t="inlineStr">
        <is>
          <t>VÄSTERBOTTENS LÄN</t>
        </is>
      </c>
      <c r="G90" t="inlineStr">
        <is>
          <t>SORSELE</t>
        </is>
      </c>
      <c r="H90" t="inlineStr">
        <is>
          <t>SCA</t>
        </is>
      </c>
      <c r="I90" t="n">
        <v>2.7</v>
      </c>
      <c r="J90" t="n">
        <v>0</v>
      </c>
      <c r="K90" t="n">
        <v>0</v>
      </c>
      <c r="L90" t="n">
        <v>0</v>
      </c>
      <c r="M90" t="n">
        <v>0</v>
      </c>
      <c r="N90" t="n">
        <v>0</v>
      </c>
      <c r="O90" t="n">
        <v>0</v>
      </c>
      <c r="P90" t="n">
        <v>0</v>
      </c>
      <c r="Q90" t="n">
        <v>0</v>
      </c>
      <c r="R90" t="n">
        <v>0</v>
      </c>
      <c r="S90" t="n">
        <v>0</v>
      </c>
      <c r="T90" t="n">
        <v>0</v>
      </c>
      <c r="U90" s="2" t="inlineStr"/>
    </row>
    <row r="91" ht="15" customHeight="1">
      <c r="A91" t="inlineStr">
        <is>
          <t>A 12109-2024</t>
        </is>
      </c>
      <c r="B91" t="inlineStr">
        <is>
          <t>avverkningsanmälan</t>
        </is>
      </c>
      <c r="C91" t="inlineStr">
        <is>
          <t>Föryngringsavverkning</t>
        </is>
      </c>
      <c r="D91" s="1" t="n">
        <v>45376</v>
      </c>
      <c r="E91" s="1" t="n">
        <v>46220</v>
      </c>
      <c r="F91" t="inlineStr">
        <is>
          <t>VÄSTERBOTTENS LÄN</t>
        </is>
      </c>
      <c r="G91" t="inlineStr">
        <is>
          <t>SORSELE</t>
        </is>
      </c>
      <c r="I91" t="n">
        <v>75</v>
      </c>
      <c r="J91" t="n">
        <v>0</v>
      </c>
      <c r="K91" t="n">
        <v>0</v>
      </c>
      <c r="L91" t="n">
        <v>0</v>
      </c>
      <c r="M91" t="n">
        <v>0</v>
      </c>
      <c r="N91" t="n">
        <v>0</v>
      </c>
      <c r="O91" t="n">
        <v>0</v>
      </c>
      <c r="P91" t="n">
        <v>0</v>
      </c>
      <c r="Q91" t="n">
        <v>0</v>
      </c>
      <c r="R91" t="n">
        <v>0</v>
      </c>
      <c r="S91" t="n">
        <v>0</v>
      </c>
      <c r="T91" t="n">
        <v>0</v>
      </c>
      <c r="U91" s="2" t="inlineStr"/>
    </row>
    <row r="92" ht="15" customHeight="1">
      <c r="A92" t="inlineStr">
        <is>
          <t>A 23943-2025</t>
        </is>
      </c>
      <c r="B92" t="inlineStr">
        <is>
          <t>avverkningsanmälan</t>
        </is>
      </c>
      <c r="C92" t="inlineStr">
        <is>
          <t>Föryngringsavverkning</t>
        </is>
      </c>
      <c r="D92" s="1" t="n">
        <v>45794</v>
      </c>
      <c r="E92" s="1" t="n">
        <v>46220</v>
      </c>
      <c r="F92" t="inlineStr">
        <is>
          <t>VÄSTERBOTTENS LÄN</t>
        </is>
      </c>
      <c r="G92" t="inlineStr">
        <is>
          <t>SORSELE</t>
        </is>
      </c>
      <c r="I92" t="n">
        <v>11.9</v>
      </c>
      <c r="J92" t="n">
        <v>0</v>
      </c>
      <c r="K92" t="n">
        <v>0</v>
      </c>
      <c r="L92" t="n">
        <v>0</v>
      </c>
      <c r="M92" t="n">
        <v>0</v>
      </c>
      <c r="N92" t="n">
        <v>0</v>
      </c>
      <c r="O92" t="n">
        <v>0</v>
      </c>
      <c r="P92" t="n">
        <v>0</v>
      </c>
      <c r="Q92" t="n">
        <v>0</v>
      </c>
      <c r="R92" t="n">
        <v>0</v>
      </c>
      <c r="S92" t="n">
        <v>0</v>
      </c>
      <c r="T92" t="n">
        <v>0</v>
      </c>
      <c r="U92" s="2" t="inlineStr"/>
    </row>
    <row r="93" ht="15" customHeight="1">
      <c r="A93" t="inlineStr">
        <is>
          <t>A 11322-2024</t>
        </is>
      </c>
      <c r="B93" t="inlineStr">
        <is>
          <t>avverkningsanmälan</t>
        </is>
      </c>
      <c r="C93" t="inlineStr">
        <is>
          <t>Föryngringsavverkning</t>
        </is>
      </c>
      <c r="D93" s="1" t="n">
        <v>45371</v>
      </c>
      <c r="E93" s="1" t="n">
        <v>46220</v>
      </c>
      <c r="F93" t="inlineStr">
        <is>
          <t>VÄSTERBOTTENS LÄN</t>
        </is>
      </c>
      <c r="G93" t="inlineStr">
        <is>
          <t>SORSELE</t>
        </is>
      </c>
      <c r="I93" t="n">
        <v>18.7</v>
      </c>
      <c r="J93" t="n">
        <v>0</v>
      </c>
      <c r="K93" t="n">
        <v>0</v>
      </c>
      <c r="L93" t="n">
        <v>0</v>
      </c>
      <c r="M93" t="n">
        <v>0</v>
      </c>
      <c r="N93" t="n">
        <v>0</v>
      </c>
      <c r="O93" t="n">
        <v>0</v>
      </c>
      <c r="P93" t="n">
        <v>0</v>
      </c>
      <c r="Q93" t="n">
        <v>0</v>
      </c>
      <c r="R93" t="n">
        <v>0</v>
      </c>
      <c r="S93" t="n">
        <v>0</v>
      </c>
      <c r="T93" t="n">
        <v>0</v>
      </c>
      <c r="U93" s="2" t="inlineStr"/>
    </row>
    <row r="94" ht="15" customHeight="1">
      <c r="A94" t="inlineStr">
        <is>
          <t>A 28023-2025</t>
        </is>
      </c>
      <c r="B94" t="inlineStr">
        <is>
          <t>avverkningsanmälan</t>
        </is>
      </c>
      <c r="C94" t="inlineStr">
        <is>
          <t>Avverkning för annat ändamål</t>
        </is>
      </c>
      <c r="D94" s="1" t="n">
        <v>45817</v>
      </c>
      <c r="E94" s="1" t="n">
        <v>46220</v>
      </c>
      <c r="F94" t="inlineStr">
        <is>
          <t>VÄSTERBOTTENS LÄN</t>
        </is>
      </c>
      <c r="G94" t="inlineStr">
        <is>
          <t>SORSELE</t>
        </is>
      </c>
      <c r="H94" t="inlineStr">
        <is>
          <t>Övriga statliga verk och myndigheter</t>
        </is>
      </c>
      <c r="I94" t="n">
        <v>0.6</v>
      </c>
      <c r="J94" t="n">
        <v>0</v>
      </c>
      <c r="K94" t="n">
        <v>0</v>
      </c>
      <c r="L94" t="n">
        <v>0</v>
      </c>
      <c r="M94" t="n">
        <v>0</v>
      </c>
      <c r="N94" t="n">
        <v>0</v>
      </c>
      <c r="O94" t="n">
        <v>0</v>
      </c>
      <c r="P94" t="n">
        <v>0</v>
      </c>
      <c r="Q94" t="n">
        <v>0</v>
      </c>
      <c r="R94" t="n">
        <v>0</v>
      </c>
      <c r="S94" t="n">
        <v>0</v>
      </c>
      <c r="T94" t="n">
        <v>0</v>
      </c>
      <c r="U94" s="2" t="inlineStr"/>
    </row>
    <row r="95" ht="15" customHeight="1">
      <c r="A95" t="inlineStr">
        <is>
          <t>A 11321-2024</t>
        </is>
      </c>
      <c r="B95" t="inlineStr">
        <is>
          <t>avverkningsanmälan</t>
        </is>
      </c>
      <c r="C95" t="inlineStr">
        <is>
          <t>Föryngringsavverkning</t>
        </is>
      </c>
      <c r="D95" s="1" t="n">
        <v>45371</v>
      </c>
      <c r="E95" s="1" t="n">
        <v>46220</v>
      </c>
      <c r="F95" t="inlineStr">
        <is>
          <t>VÄSTERBOTTENS LÄN</t>
        </is>
      </c>
      <c r="G95" t="inlineStr">
        <is>
          <t>SORSELE</t>
        </is>
      </c>
      <c r="I95" t="n">
        <v>12.1</v>
      </c>
      <c r="J95" t="n">
        <v>0</v>
      </c>
      <c r="K95" t="n">
        <v>0</v>
      </c>
      <c r="L95" t="n">
        <v>0</v>
      </c>
      <c r="M95" t="n">
        <v>0</v>
      </c>
      <c r="N95" t="n">
        <v>0</v>
      </c>
      <c r="O95" t="n">
        <v>0</v>
      </c>
      <c r="P95" t="n">
        <v>0</v>
      </c>
      <c r="Q95" t="n">
        <v>0</v>
      </c>
      <c r="R95" t="n">
        <v>0</v>
      </c>
      <c r="S95" t="n">
        <v>0</v>
      </c>
      <c r="T95" t="n">
        <v>0</v>
      </c>
      <c r="U95" s="2" t="inlineStr"/>
    </row>
    <row r="96" ht="15" customHeight="1">
      <c r="A96" t="inlineStr">
        <is>
          <t>A 11323-2024</t>
        </is>
      </c>
      <c r="B96" t="inlineStr">
        <is>
          <t>avverkningsanmälan</t>
        </is>
      </c>
      <c r="C96" t="inlineStr">
        <is>
          <t>Föryngringsavverkning</t>
        </is>
      </c>
      <c r="D96" s="1" t="n">
        <v>45371</v>
      </c>
      <c r="E96" s="1" t="n">
        <v>46220</v>
      </c>
      <c r="F96" t="inlineStr">
        <is>
          <t>VÄSTERBOTTENS LÄN</t>
        </is>
      </c>
      <c r="G96" t="inlineStr">
        <is>
          <t>SORSELE</t>
        </is>
      </c>
      <c r="I96" t="n">
        <v>12.9</v>
      </c>
      <c r="J96" t="n">
        <v>0</v>
      </c>
      <c r="K96" t="n">
        <v>0</v>
      </c>
      <c r="L96" t="n">
        <v>0</v>
      </c>
      <c r="M96" t="n">
        <v>0</v>
      </c>
      <c r="N96" t="n">
        <v>0</v>
      </c>
      <c r="O96" t="n">
        <v>0</v>
      </c>
      <c r="P96" t="n">
        <v>0</v>
      </c>
      <c r="Q96" t="n">
        <v>0</v>
      </c>
      <c r="R96" t="n">
        <v>0</v>
      </c>
      <c r="S96" t="n">
        <v>0</v>
      </c>
      <c r="T96" t="n">
        <v>0</v>
      </c>
      <c r="U96" s="2" t="inlineStr"/>
    </row>
    <row r="97" ht="15" customHeight="1">
      <c r="A97" t="inlineStr">
        <is>
          <t>A 23952-2025</t>
        </is>
      </c>
      <c r="B97" t="inlineStr">
        <is>
          <t>avverkningsanmälan</t>
        </is>
      </c>
      <c r="C97" t="inlineStr">
        <is>
          <t>Föryngringsavverkning</t>
        </is>
      </c>
      <c r="D97" s="1" t="n">
        <v>45794</v>
      </c>
      <c r="E97" s="1" t="n">
        <v>46220</v>
      </c>
      <c r="F97" t="inlineStr">
        <is>
          <t>VÄSTERBOTTENS LÄN</t>
        </is>
      </c>
      <c r="G97" t="inlineStr">
        <is>
          <t>SORSELE</t>
        </is>
      </c>
      <c r="I97" t="n">
        <v>20.7</v>
      </c>
      <c r="J97" t="n">
        <v>0</v>
      </c>
      <c r="K97" t="n">
        <v>0</v>
      </c>
      <c r="L97" t="n">
        <v>0</v>
      </c>
      <c r="M97" t="n">
        <v>0</v>
      </c>
      <c r="N97" t="n">
        <v>0</v>
      </c>
      <c r="O97" t="n">
        <v>0</v>
      </c>
      <c r="P97" t="n">
        <v>0</v>
      </c>
      <c r="Q97" t="n">
        <v>0</v>
      </c>
      <c r="R97" t="n">
        <v>0</v>
      </c>
      <c r="S97" t="n">
        <v>0</v>
      </c>
      <c r="T97" t="n">
        <v>0</v>
      </c>
      <c r="U97" s="2" t="inlineStr"/>
    </row>
    <row r="98" ht="15" customHeight="1">
      <c r="A98" t="inlineStr">
        <is>
          <t>A 64361-2023</t>
        </is>
      </c>
      <c r="B98" t="inlineStr">
        <is>
          <t>avverkningsanmälan</t>
        </is>
      </c>
      <c r="C98" t="inlineStr">
        <is>
          <t>Föryngringsavverkning</t>
        </is>
      </c>
      <c r="D98" s="1" t="n">
        <v>45280</v>
      </c>
      <c r="E98" s="1" t="n">
        <v>46220</v>
      </c>
      <c r="F98" t="inlineStr">
        <is>
          <t>VÄSTERBOTTENS LÄN</t>
        </is>
      </c>
      <c r="G98" t="inlineStr">
        <is>
          <t>SORSELE</t>
        </is>
      </c>
      <c r="I98" t="n">
        <v>99.59999999999999</v>
      </c>
      <c r="J98" t="n">
        <v>0</v>
      </c>
      <c r="K98" t="n">
        <v>0</v>
      </c>
      <c r="L98" t="n">
        <v>0</v>
      </c>
      <c r="M98" t="n">
        <v>0</v>
      </c>
      <c r="N98" t="n">
        <v>0</v>
      </c>
      <c r="O98" t="n">
        <v>0</v>
      </c>
      <c r="P98" t="n">
        <v>0</v>
      </c>
      <c r="Q98" t="n">
        <v>0</v>
      </c>
      <c r="R98" t="n">
        <v>0</v>
      </c>
      <c r="S98" t="n">
        <v>0</v>
      </c>
      <c r="T98" t="n">
        <v>0</v>
      </c>
      <c r="U98" s="2" t="inlineStr"/>
    </row>
    <row r="99" ht="15" customHeight="1">
      <c r="A99" t="inlineStr">
        <is>
          <t>A 60758-2022</t>
        </is>
      </c>
      <c r="B99" t="inlineStr">
        <is>
          <t>avverkningsanmälan</t>
        </is>
      </c>
      <c r="C99" t="inlineStr">
        <is>
          <t>Föryngringsavverkning</t>
        </is>
      </c>
      <c r="D99" s="1" t="n">
        <v>44907</v>
      </c>
      <c r="E99" s="1" t="n">
        <v>46220</v>
      </c>
      <c r="F99" t="inlineStr">
        <is>
          <t>VÄSTERBOTTENS LÄN</t>
        </is>
      </c>
      <c r="G99" t="inlineStr">
        <is>
          <t>SORSELE</t>
        </is>
      </c>
      <c r="I99" t="n">
        <v>9.199999999999999</v>
      </c>
      <c r="J99" t="n">
        <v>0</v>
      </c>
      <c r="K99" t="n">
        <v>0</v>
      </c>
      <c r="L99" t="n">
        <v>0</v>
      </c>
      <c r="M99" t="n">
        <v>0</v>
      </c>
      <c r="N99" t="n">
        <v>0</v>
      </c>
      <c r="O99" t="n">
        <v>0</v>
      </c>
      <c r="P99" t="n">
        <v>0</v>
      </c>
      <c r="Q99" t="n">
        <v>0</v>
      </c>
      <c r="R99" t="n">
        <v>0</v>
      </c>
      <c r="S99" t="n">
        <v>0</v>
      </c>
      <c r="T99" t="n">
        <v>0</v>
      </c>
      <c r="U99" s="2" t="inlineStr"/>
    </row>
    <row r="100" ht="15" customHeight="1">
      <c r="A100" t="inlineStr">
        <is>
          <t>A 28688-2023</t>
        </is>
      </c>
      <c r="B100" t="inlineStr">
        <is>
          <t>avverkningsanmälan</t>
        </is>
      </c>
      <c r="C100" t="inlineStr">
        <is>
          <t>Avverkning för annat ändamål</t>
        </is>
      </c>
      <c r="D100" s="1" t="n">
        <v>45103</v>
      </c>
      <c r="E100" s="1" t="n">
        <v>46220</v>
      </c>
      <c r="F100" t="inlineStr">
        <is>
          <t>VÄSTERBOTTENS LÄN</t>
        </is>
      </c>
      <c r="G100" t="inlineStr">
        <is>
          <t>SORSELE</t>
        </is>
      </c>
      <c r="H100" t="inlineStr">
        <is>
          <t>Sveaskog</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1698-2026</t>
        </is>
      </c>
      <c r="B101" t="inlineStr">
        <is>
          <t>avverkningsanmälan</t>
        </is>
      </c>
      <c r="C101" t="inlineStr">
        <is>
          <t>Föryngringsavverkning</t>
        </is>
      </c>
      <c r="D101" s="1" t="n">
        <v>46034</v>
      </c>
      <c r="E101" s="1" t="n">
        <v>46220</v>
      </c>
      <c r="F101" t="inlineStr">
        <is>
          <t>VÄSTERBOTTENS LÄN</t>
        </is>
      </c>
      <c r="G101" t="inlineStr">
        <is>
          <t>SORSELE</t>
        </is>
      </c>
      <c r="I101" t="n">
        <v>15.4</v>
      </c>
      <c r="J101" t="n">
        <v>0</v>
      </c>
      <c r="K101" t="n">
        <v>0</v>
      </c>
      <c r="L101" t="n">
        <v>0</v>
      </c>
      <c r="M101" t="n">
        <v>0</v>
      </c>
      <c r="N101" t="n">
        <v>0</v>
      </c>
      <c r="O101" t="n">
        <v>0</v>
      </c>
      <c r="P101" t="n">
        <v>0</v>
      </c>
      <c r="Q101" t="n">
        <v>0</v>
      </c>
      <c r="R101" t="n">
        <v>0</v>
      </c>
      <c r="S101" t="n">
        <v>0</v>
      </c>
      <c r="T101" t="n">
        <v>0</v>
      </c>
      <c r="U101" s="2" t="inlineStr"/>
    </row>
    <row r="102" ht="15" customHeight="1">
      <c r="A102" t="inlineStr">
        <is>
          <t>A 1699-2026</t>
        </is>
      </c>
      <c r="B102" t="inlineStr">
        <is>
          <t>avverkningsanmälan</t>
        </is>
      </c>
      <c r="C102" t="inlineStr">
        <is>
          <t>Föryngringsavverkning</t>
        </is>
      </c>
      <c r="D102" s="1" t="n">
        <v>46034</v>
      </c>
      <c r="E102" s="1" t="n">
        <v>46220</v>
      </c>
      <c r="F102" t="inlineStr">
        <is>
          <t>VÄSTERBOTTENS LÄN</t>
        </is>
      </c>
      <c r="G102" t="inlineStr">
        <is>
          <t>SORSELE</t>
        </is>
      </c>
      <c r="I102" t="n">
        <v>11.8</v>
      </c>
      <c r="J102" t="n">
        <v>0</v>
      </c>
      <c r="K102" t="n">
        <v>0</v>
      </c>
      <c r="L102" t="n">
        <v>0</v>
      </c>
      <c r="M102" t="n">
        <v>0</v>
      </c>
      <c r="N102" t="n">
        <v>0</v>
      </c>
      <c r="O102" t="n">
        <v>0</v>
      </c>
      <c r="P102" t="n">
        <v>0</v>
      </c>
      <c r="Q102" t="n">
        <v>0</v>
      </c>
      <c r="R102" t="n">
        <v>0</v>
      </c>
      <c r="S102" t="n">
        <v>0</v>
      </c>
      <c r="T102" t="n">
        <v>0</v>
      </c>
      <c r="U102" s="2" t="inlineStr"/>
    </row>
    <row r="103" ht="15" customHeight="1">
      <c r="A103" t="inlineStr">
        <is>
          <t>A 1986-2026</t>
        </is>
      </c>
      <c r="B103" t="inlineStr">
        <is>
          <t>avverkningsanmälan</t>
        </is>
      </c>
      <c r="C103" t="inlineStr">
        <is>
          <t>Föryngringsavverkning</t>
        </is>
      </c>
      <c r="D103" s="1" t="n">
        <v>46035</v>
      </c>
      <c r="E103" s="1" t="n">
        <v>46220</v>
      </c>
      <c r="F103" t="inlineStr">
        <is>
          <t>VÄSTERBOTTENS LÄN</t>
        </is>
      </c>
      <c r="G103" t="inlineStr">
        <is>
          <t>SORSELE</t>
        </is>
      </c>
      <c r="I103" t="n">
        <v>4.3</v>
      </c>
      <c r="J103" t="n">
        <v>0</v>
      </c>
      <c r="K103" t="n">
        <v>0</v>
      </c>
      <c r="L103" t="n">
        <v>0</v>
      </c>
      <c r="M103" t="n">
        <v>0</v>
      </c>
      <c r="N103" t="n">
        <v>0</v>
      </c>
      <c r="O103" t="n">
        <v>0</v>
      </c>
      <c r="P103" t="n">
        <v>0</v>
      </c>
      <c r="Q103" t="n">
        <v>0</v>
      </c>
      <c r="R103" t="n">
        <v>0</v>
      </c>
      <c r="S103" t="n">
        <v>0</v>
      </c>
      <c r="T103" t="n">
        <v>0</v>
      </c>
      <c r="U103" s="2" t="inlineStr"/>
    </row>
    <row r="104" ht="15" customHeight="1">
      <c r="A104" t="inlineStr">
        <is>
          <t>A 60909-2021</t>
        </is>
      </c>
      <c r="B104" t="inlineStr">
        <is>
          <t>avverkningsanmälan</t>
        </is>
      </c>
      <c r="C104" t="inlineStr">
        <is>
          <t>Föryngringsavverkning</t>
        </is>
      </c>
      <c r="D104" s="1" t="n">
        <v>44496</v>
      </c>
      <c r="E104" s="1" t="n">
        <v>46220</v>
      </c>
      <c r="F104" t="inlineStr">
        <is>
          <t>VÄSTERBOTTENS LÄN</t>
        </is>
      </c>
      <c r="G104" t="inlineStr">
        <is>
          <t>SORSELE</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1700-2026</t>
        </is>
      </c>
      <c r="B105" t="inlineStr">
        <is>
          <t>avverkningsanmälan</t>
        </is>
      </c>
      <c r="C105" t="inlineStr">
        <is>
          <t>Föryngringsavverkning</t>
        </is>
      </c>
      <c r="D105" s="1" t="n">
        <v>46034</v>
      </c>
      <c r="E105" s="1" t="n">
        <v>46220</v>
      </c>
      <c r="F105" t="inlineStr">
        <is>
          <t>VÄSTERBOTTENS LÄN</t>
        </is>
      </c>
      <c r="G105" t="inlineStr">
        <is>
          <t>SORSELE</t>
        </is>
      </c>
      <c r="I105" t="n">
        <v>29.6</v>
      </c>
      <c r="J105" t="n">
        <v>0</v>
      </c>
      <c r="K105" t="n">
        <v>0</v>
      </c>
      <c r="L105" t="n">
        <v>0</v>
      </c>
      <c r="M105" t="n">
        <v>0</v>
      </c>
      <c r="N105" t="n">
        <v>0</v>
      </c>
      <c r="O105" t="n">
        <v>0</v>
      </c>
      <c r="P105" t="n">
        <v>0</v>
      </c>
      <c r="Q105" t="n">
        <v>0</v>
      </c>
      <c r="R105" t="n">
        <v>0</v>
      </c>
      <c r="S105" t="n">
        <v>0</v>
      </c>
      <c r="T105" t="n">
        <v>0</v>
      </c>
      <c r="U105" s="2" t="inlineStr"/>
    </row>
    <row r="106" ht="15" customHeight="1">
      <c r="A106" t="inlineStr">
        <is>
          <t>A 55817-2022</t>
        </is>
      </c>
      <c r="B106" t="inlineStr">
        <is>
          <t>avverkningsanmälan</t>
        </is>
      </c>
      <c r="C106" t="inlineStr">
        <is>
          <t>Föryngringsavverkning</t>
        </is>
      </c>
      <c r="D106" s="1" t="n">
        <v>44886</v>
      </c>
      <c r="E106" s="1" t="n">
        <v>46220</v>
      </c>
      <c r="F106" t="inlineStr">
        <is>
          <t>VÄSTERBOTTENS LÄN</t>
        </is>
      </c>
      <c r="G106" t="inlineStr">
        <is>
          <t>SORSELE</t>
        </is>
      </c>
      <c r="I106" t="n">
        <v>10</v>
      </c>
      <c r="J106" t="n">
        <v>0</v>
      </c>
      <c r="K106" t="n">
        <v>0</v>
      </c>
      <c r="L106" t="n">
        <v>0</v>
      </c>
      <c r="M106" t="n">
        <v>0</v>
      </c>
      <c r="N106" t="n">
        <v>0</v>
      </c>
      <c r="O106" t="n">
        <v>0</v>
      </c>
      <c r="P106" t="n">
        <v>0</v>
      </c>
      <c r="Q106" t="n">
        <v>0</v>
      </c>
      <c r="R106" t="n">
        <v>0</v>
      </c>
      <c r="S106" t="n">
        <v>0</v>
      </c>
      <c r="T106" t="n">
        <v>0</v>
      </c>
      <c r="U106" s="2" t="inlineStr"/>
    </row>
    <row r="107" ht="15" customHeight="1">
      <c r="A107" t="inlineStr">
        <is>
          <t>A 10795-2023</t>
        </is>
      </c>
      <c r="B107" t="inlineStr">
        <is>
          <t>avverkningsanmälan</t>
        </is>
      </c>
      <c r="C107" t="inlineStr">
        <is>
          <t>Föryngringsavverkning</t>
        </is>
      </c>
      <c r="D107" s="1" t="n">
        <v>44989</v>
      </c>
      <c r="E107" s="1" t="n">
        <v>46220</v>
      </c>
      <c r="F107" t="inlineStr">
        <is>
          <t>VÄSTERBOTTENS LÄN</t>
        </is>
      </c>
      <c r="G107" t="inlineStr">
        <is>
          <t>SORSELE</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39631-2025</t>
        </is>
      </c>
      <c r="B108" t="inlineStr">
        <is>
          <t>avverkningsanmälan</t>
        </is>
      </c>
      <c r="C108" t="inlineStr">
        <is>
          <t>Föryngringsavverkning</t>
        </is>
      </c>
      <c r="D108" s="1" t="n">
        <v>45890</v>
      </c>
      <c r="E108" s="1" t="n">
        <v>46220</v>
      </c>
      <c r="F108" t="inlineStr">
        <is>
          <t>VÄSTERBOTTENS LÄN</t>
        </is>
      </c>
      <c r="G108" t="inlineStr">
        <is>
          <t>SORSELE</t>
        </is>
      </c>
      <c r="H108" t="inlineStr">
        <is>
          <t>Sveaskog</t>
        </is>
      </c>
      <c r="I108" t="n">
        <v>25.5</v>
      </c>
      <c r="J108" t="n">
        <v>0</v>
      </c>
      <c r="K108" t="n">
        <v>0</v>
      </c>
      <c r="L108" t="n">
        <v>0</v>
      </c>
      <c r="M108" t="n">
        <v>0</v>
      </c>
      <c r="N108" t="n">
        <v>0</v>
      </c>
      <c r="O108" t="n">
        <v>0</v>
      </c>
      <c r="P108" t="n">
        <v>0</v>
      </c>
      <c r="Q108" t="n">
        <v>0</v>
      </c>
      <c r="R108" t="n">
        <v>0</v>
      </c>
      <c r="S108" t="n">
        <v>0</v>
      </c>
      <c r="T108" t="n">
        <v>0</v>
      </c>
      <c r="U108" s="2" t="inlineStr"/>
    </row>
    <row r="109" ht="15" customHeight="1">
      <c r="A109" t="inlineStr">
        <is>
          <t>A 25945-2022</t>
        </is>
      </c>
      <c r="B109" t="inlineStr">
        <is>
          <t>avverkningsanmälan</t>
        </is>
      </c>
      <c r="C109" t="inlineStr">
        <is>
          <t>Föryngringsavverkning</t>
        </is>
      </c>
      <c r="D109" s="1" t="n">
        <v>44734</v>
      </c>
      <c r="E109" s="1" t="n">
        <v>46220</v>
      </c>
      <c r="F109" t="inlineStr">
        <is>
          <t>VÄSTERBOTTENS LÄN</t>
        </is>
      </c>
      <c r="G109" t="inlineStr">
        <is>
          <t>SORSELE</t>
        </is>
      </c>
      <c r="I109" t="n">
        <v>7.7</v>
      </c>
      <c r="J109" t="n">
        <v>0</v>
      </c>
      <c r="K109" t="n">
        <v>0</v>
      </c>
      <c r="L109" t="n">
        <v>0</v>
      </c>
      <c r="M109" t="n">
        <v>0</v>
      </c>
      <c r="N109" t="n">
        <v>0</v>
      </c>
      <c r="O109" t="n">
        <v>0</v>
      </c>
      <c r="P109" t="n">
        <v>0</v>
      </c>
      <c r="Q109" t="n">
        <v>0</v>
      </c>
      <c r="R109" t="n">
        <v>0</v>
      </c>
      <c r="S109" t="n">
        <v>0</v>
      </c>
      <c r="T109" t="n">
        <v>0</v>
      </c>
      <c r="U109" s="2" t="inlineStr"/>
    </row>
    <row r="110" ht="15" customHeight="1">
      <c r="A110" t="inlineStr">
        <is>
          <t>A 41465-2025</t>
        </is>
      </c>
      <c r="B110" t="inlineStr">
        <is>
          <t>avverkningsanmälan</t>
        </is>
      </c>
      <c r="C110" t="inlineStr">
        <is>
          <t>Föryngringsavverkning</t>
        </is>
      </c>
      <c r="D110" s="1" t="n">
        <v>45899</v>
      </c>
      <c r="E110" s="1" t="n">
        <v>46220</v>
      </c>
      <c r="F110" t="inlineStr">
        <is>
          <t>VÄSTERBOTTENS LÄN</t>
        </is>
      </c>
      <c r="G110" t="inlineStr">
        <is>
          <t>SORSELE</t>
        </is>
      </c>
      <c r="I110" t="n">
        <v>9.199999999999999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53102-2024</t>
        </is>
      </c>
      <c r="B111" t="inlineStr">
        <is>
          <t>avverkningsanmälan</t>
        </is>
      </c>
      <c r="C111" t="inlineStr">
        <is>
          <t>Föryngringsavverkning</t>
        </is>
      </c>
      <c r="D111" s="1" t="n">
        <v>45611</v>
      </c>
      <c r="E111" s="1" t="n">
        <v>46220</v>
      </c>
      <c r="F111" t="inlineStr">
        <is>
          <t>VÄSTERBOTTENS LÄN</t>
        </is>
      </c>
      <c r="G111" t="inlineStr">
        <is>
          <t>SORSELE</t>
        </is>
      </c>
      <c r="H111" t="inlineStr">
        <is>
          <t>Sveaskog</t>
        </is>
      </c>
      <c r="I111" t="n">
        <v>44.9</v>
      </c>
      <c r="J111" t="n">
        <v>0</v>
      </c>
      <c r="K111" t="n">
        <v>0</v>
      </c>
      <c r="L111" t="n">
        <v>0</v>
      </c>
      <c r="M111" t="n">
        <v>0</v>
      </c>
      <c r="N111" t="n">
        <v>0</v>
      </c>
      <c r="O111" t="n">
        <v>0</v>
      </c>
      <c r="P111" t="n">
        <v>0</v>
      </c>
      <c r="Q111" t="n">
        <v>0</v>
      </c>
      <c r="R111" t="n">
        <v>0</v>
      </c>
      <c r="S111" t="n">
        <v>0</v>
      </c>
      <c r="T111" t="n">
        <v>0</v>
      </c>
      <c r="U111" s="2" t="inlineStr"/>
    </row>
    <row r="112" ht="15" customHeight="1">
      <c r="A112" t="inlineStr">
        <is>
          <t>A 48989-2025</t>
        </is>
      </c>
      <c r="B112" t="inlineStr">
        <is>
          <t>avverkningsanmälan</t>
        </is>
      </c>
      <c r="C112" t="inlineStr">
        <is>
          <t>Föryngringsavverkning</t>
        </is>
      </c>
      <c r="D112" s="1" t="n">
        <v>45937</v>
      </c>
      <c r="E112" s="1" t="n">
        <v>46220</v>
      </c>
      <c r="F112" t="inlineStr">
        <is>
          <t>VÄSTERBOTTENS LÄN</t>
        </is>
      </c>
      <c r="G112" t="inlineStr">
        <is>
          <t>SORSELE</t>
        </is>
      </c>
      <c r="H112" t="inlineStr">
        <is>
          <t>Sveaskog</t>
        </is>
      </c>
      <c r="I112" t="n">
        <v>57.3</v>
      </c>
      <c r="J112" t="n">
        <v>0</v>
      </c>
      <c r="K112" t="n">
        <v>0</v>
      </c>
      <c r="L112" t="n">
        <v>0</v>
      </c>
      <c r="M112" t="n">
        <v>0</v>
      </c>
      <c r="N112" t="n">
        <v>0</v>
      </c>
      <c r="O112" t="n">
        <v>0</v>
      </c>
      <c r="P112" t="n">
        <v>0</v>
      </c>
      <c r="Q112" t="n">
        <v>0</v>
      </c>
      <c r="R112" t="n">
        <v>0</v>
      </c>
      <c r="S112" t="n">
        <v>0</v>
      </c>
      <c r="T112" t="n">
        <v>0</v>
      </c>
      <c r="U112" s="2" t="inlineStr"/>
    </row>
    <row r="113" ht="15" customHeight="1">
      <c r="A113" t="inlineStr">
        <is>
          <t>A 41447-2025</t>
        </is>
      </c>
      <c r="B113" t="inlineStr">
        <is>
          <t>avverkningsanmälan</t>
        </is>
      </c>
      <c r="C113" t="inlineStr">
        <is>
          <t>Föryngringsavverkning</t>
        </is>
      </c>
      <c r="D113" s="1" t="n">
        <v>45901</v>
      </c>
      <c r="E113" s="1" t="n">
        <v>46220</v>
      </c>
      <c r="F113" t="inlineStr">
        <is>
          <t>VÄSTERBOTTENS LÄN</t>
        </is>
      </c>
      <c r="G113" t="inlineStr">
        <is>
          <t>SORSELE</t>
        </is>
      </c>
      <c r="H113" t="inlineStr">
        <is>
          <t>SCA</t>
        </is>
      </c>
      <c r="I113" t="n">
        <v>12.9</v>
      </c>
      <c r="J113" t="n">
        <v>0</v>
      </c>
      <c r="K113" t="n">
        <v>0</v>
      </c>
      <c r="L113" t="n">
        <v>0</v>
      </c>
      <c r="M113" t="n">
        <v>0</v>
      </c>
      <c r="N113" t="n">
        <v>0</v>
      </c>
      <c r="O113" t="n">
        <v>0</v>
      </c>
      <c r="P113" t="n">
        <v>0</v>
      </c>
      <c r="Q113" t="n">
        <v>0</v>
      </c>
      <c r="R113" t="n">
        <v>0</v>
      </c>
      <c r="S113" t="n">
        <v>0</v>
      </c>
      <c r="T113" t="n">
        <v>0</v>
      </c>
      <c r="U113" s="2" t="inlineStr"/>
    </row>
    <row r="114" ht="15" customHeight="1">
      <c r="A114" t="inlineStr">
        <is>
          <t>A 46666-2025</t>
        </is>
      </c>
      <c r="B114" t="inlineStr">
        <is>
          <t>avverkningsanmälan</t>
        </is>
      </c>
      <c r="C114" t="inlineStr">
        <is>
          <t>Föryngringsavverkning</t>
        </is>
      </c>
      <c r="D114" s="1" t="n">
        <v>45926</v>
      </c>
      <c r="E114" s="1" t="n">
        <v>46220</v>
      </c>
      <c r="F114" t="inlineStr">
        <is>
          <t>VÄSTERBOTTENS LÄN</t>
        </is>
      </c>
      <c r="G114" t="inlineStr">
        <is>
          <t>SORSELE</t>
        </is>
      </c>
      <c r="H114" t="inlineStr">
        <is>
          <t>Sveaskog</t>
        </is>
      </c>
      <c r="I114" t="n">
        <v>35.6</v>
      </c>
      <c r="J114" t="n">
        <v>0</v>
      </c>
      <c r="K114" t="n">
        <v>0</v>
      </c>
      <c r="L114" t="n">
        <v>0</v>
      </c>
      <c r="M114" t="n">
        <v>0</v>
      </c>
      <c r="N114" t="n">
        <v>0</v>
      </c>
      <c r="O114" t="n">
        <v>0</v>
      </c>
      <c r="P114" t="n">
        <v>0</v>
      </c>
      <c r="Q114" t="n">
        <v>0</v>
      </c>
      <c r="R114" t="n">
        <v>0</v>
      </c>
      <c r="S114" t="n">
        <v>0</v>
      </c>
      <c r="T114" t="n">
        <v>0</v>
      </c>
      <c r="U114" s="2" t="inlineStr"/>
    </row>
    <row r="115" ht="15" customHeight="1">
      <c r="A115" t="inlineStr">
        <is>
          <t>A 27744-2025</t>
        </is>
      </c>
      <c r="B115" t="inlineStr">
        <is>
          <t>avverkningsanmälan</t>
        </is>
      </c>
      <c r="C115" t="inlineStr">
        <is>
          <t>Föryngringsavverkning</t>
        </is>
      </c>
      <c r="D115" s="1" t="n">
        <v>45815</v>
      </c>
      <c r="E115" s="1" t="n">
        <v>46220</v>
      </c>
      <c r="F115" t="inlineStr">
        <is>
          <t>VÄSTERBOTTENS LÄN</t>
        </is>
      </c>
      <c r="G115" t="inlineStr">
        <is>
          <t>SORSELE</t>
        </is>
      </c>
      <c r="I115" t="n">
        <v>4.5</v>
      </c>
      <c r="J115" t="n">
        <v>0</v>
      </c>
      <c r="K115" t="n">
        <v>0</v>
      </c>
      <c r="L115" t="n">
        <v>0</v>
      </c>
      <c r="M115" t="n">
        <v>0</v>
      </c>
      <c r="N115" t="n">
        <v>0</v>
      </c>
      <c r="O115" t="n">
        <v>0</v>
      </c>
      <c r="P115" t="n">
        <v>0</v>
      </c>
      <c r="Q115" t="n">
        <v>0</v>
      </c>
      <c r="R115" t="n">
        <v>0</v>
      </c>
      <c r="S115" t="n">
        <v>0</v>
      </c>
      <c r="T115" t="n">
        <v>0</v>
      </c>
      <c r="U115" s="2" t="inlineStr"/>
    </row>
    <row r="116" ht="15" customHeight="1">
      <c r="A116" t="inlineStr">
        <is>
          <t>A 27746-2025</t>
        </is>
      </c>
      <c r="B116" t="inlineStr">
        <is>
          <t>avverkningsanmälan</t>
        </is>
      </c>
      <c r="C116" t="inlineStr">
        <is>
          <t>Föryngringsavverkning</t>
        </is>
      </c>
      <c r="D116" s="1" t="n">
        <v>45815</v>
      </c>
      <c r="E116" s="1" t="n">
        <v>46220</v>
      </c>
      <c r="F116" t="inlineStr">
        <is>
          <t>VÄSTERBOTTENS LÄN</t>
        </is>
      </c>
      <c r="G116" t="inlineStr">
        <is>
          <t>SORSELE</t>
        </is>
      </c>
      <c r="I116" t="n">
        <v>4.1</v>
      </c>
      <c r="J116" t="n">
        <v>0</v>
      </c>
      <c r="K116" t="n">
        <v>0</v>
      </c>
      <c r="L116" t="n">
        <v>0</v>
      </c>
      <c r="M116" t="n">
        <v>0</v>
      </c>
      <c r="N116" t="n">
        <v>0</v>
      </c>
      <c r="O116" t="n">
        <v>0</v>
      </c>
      <c r="P116" t="n">
        <v>0</v>
      </c>
      <c r="Q116" t="n">
        <v>0</v>
      </c>
      <c r="R116" t="n">
        <v>0</v>
      </c>
      <c r="S116" t="n">
        <v>0</v>
      </c>
      <c r="T116" t="n">
        <v>0</v>
      </c>
      <c r="U116" s="2" t="inlineStr"/>
    </row>
    <row r="117" ht="15" customHeight="1">
      <c r="A117" t="inlineStr">
        <is>
          <t>A 28186-2025</t>
        </is>
      </c>
      <c r="B117" t="inlineStr">
        <is>
          <t>avverkningsanmälan</t>
        </is>
      </c>
      <c r="C117" t="inlineStr">
        <is>
          <t>Avverkning för att bevara och utveckla /försöksver</t>
        </is>
      </c>
      <c r="D117" s="1" t="n">
        <v>45818</v>
      </c>
      <c r="E117" s="1" t="n">
        <v>46220</v>
      </c>
      <c r="F117" t="inlineStr">
        <is>
          <t>VÄSTERBOTTENS LÄN</t>
        </is>
      </c>
      <c r="G117" t="inlineStr">
        <is>
          <t>SORSELE</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7256-2025</t>
        </is>
      </c>
      <c r="B118" t="inlineStr">
        <is>
          <t>avverkningsanmälan</t>
        </is>
      </c>
      <c r="C118" t="inlineStr">
        <is>
          <t>Föryngringsavverkning</t>
        </is>
      </c>
      <c r="D118" s="1" t="n">
        <v>45702</v>
      </c>
      <c r="E118" s="1" t="n">
        <v>46220</v>
      </c>
      <c r="F118" t="inlineStr">
        <is>
          <t>VÄSTERBOTTENS LÄN</t>
        </is>
      </c>
      <c r="G118" t="inlineStr">
        <is>
          <t>SORSELE</t>
        </is>
      </c>
      <c r="H118" t="inlineStr">
        <is>
          <t>SCA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46319-2023</t>
        </is>
      </c>
      <c r="B119" t="inlineStr">
        <is>
          <t>avverkningsanmälan</t>
        </is>
      </c>
      <c r="C119" t="inlineStr">
        <is>
          <t>Föryngringsavverkning</t>
        </is>
      </c>
      <c r="D119" s="1" t="n">
        <v>45191</v>
      </c>
      <c r="E119" s="1" t="n">
        <v>46220</v>
      </c>
      <c r="F119" t="inlineStr">
        <is>
          <t>VÄSTERBOTTENS LÄN</t>
        </is>
      </c>
      <c r="G119" t="inlineStr">
        <is>
          <t>SORSELE</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16883-2023</t>
        </is>
      </c>
      <c r="B120" t="inlineStr">
        <is>
          <t>avverkningsanmälan</t>
        </is>
      </c>
      <c r="C120" t="inlineStr">
        <is>
          <t>Föryngringsavverkning</t>
        </is>
      </c>
      <c r="D120" s="1" t="n">
        <v>45029</v>
      </c>
      <c r="E120" s="1" t="n">
        <v>46220</v>
      </c>
      <c r="F120" t="inlineStr">
        <is>
          <t>VÄSTERBOTTENS LÄN</t>
        </is>
      </c>
      <c r="G120" t="inlineStr">
        <is>
          <t>SORSELE</t>
        </is>
      </c>
      <c r="I120" t="n">
        <v>5</v>
      </c>
      <c r="J120" t="n">
        <v>0</v>
      </c>
      <c r="K120" t="n">
        <v>0</v>
      </c>
      <c r="L120" t="n">
        <v>0</v>
      </c>
      <c r="M120" t="n">
        <v>0</v>
      </c>
      <c r="N120" t="n">
        <v>0</v>
      </c>
      <c r="O120" t="n">
        <v>0</v>
      </c>
      <c r="P120" t="n">
        <v>0</v>
      </c>
      <c r="Q120" t="n">
        <v>0</v>
      </c>
      <c r="R120" t="n">
        <v>0</v>
      </c>
      <c r="S120" t="n">
        <v>0</v>
      </c>
      <c r="T120" t="n">
        <v>0</v>
      </c>
      <c r="U120" s="2" t="inlineStr"/>
    </row>
    <row r="121" ht="15" customHeight="1">
      <c r="A121" t="inlineStr">
        <is>
          <t>A 9827-2023</t>
        </is>
      </c>
      <c r="B121" t="inlineStr">
        <is>
          <t>avverkningsanmälan</t>
        </is>
      </c>
      <c r="C121" t="inlineStr">
        <is>
          <t>Föryngringsavverkning</t>
        </is>
      </c>
      <c r="D121" s="1" t="n">
        <v>44978</v>
      </c>
      <c r="E121" s="1" t="n">
        <v>46220</v>
      </c>
      <c r="F121" t="inlineStr">
        <is>
          <t>VÄSTERBOTTENS LÄN</t>
        </is>
      </c>
      <c r="G121" t="inlineStr">
        <is>
          <t>SORSELE</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30520-2025</t>
        </is>
      </c>
      <c r="B122" t="inlineStr">
        <is>
          <t>avverkningsanmälan</t>
        </is>
      </c>
      <c r="C122" t="inlineStr">
        <is>
          <t>Föryngringsavverkning</t>
        </is>
      </c>
      <c r="D122" s="1" t="n">
        <v>45831</v>
      </c>
      <c r="E122" s="1" t="n">
        <v>46220</v>
      </c>
      <c r="F122" t="inlineStr">
        <is>
          <t>VÄSTERBOTTENS LÄN</t>
        </is>
      </c>
      <c r="G122" t="inlineStr">
        <is>
          <t>SORSELE</t>
        </is>
      </c>
      <c r="I122" t="n">
        <v>5.4</v>
      </c>
      <c r="J122" t="n">
        <v>0</v>
      </c>
      <c r="K122" t="n">
        <v>0</v>
      </c>
      <c r="L122" t="n">
        <v>0</v>
      </c>
      <c r="M122" t="n">
        <v>0</v>
      </c>
      <c r="N122" t="n">
        <v>0</v>
      </c>
      <c r="O122" t="n">
        <v>0</v>
      </c>
      <c r="P122" t="n">
        <v>0</v>
      </c>
      <c r="Q122" t="n">
        <v>0</v>
      </c>
      <c r="R122" t="n">
        <v>0</v>
      </c>
      <c r="S122" t="n">
        <v>0</v>
      </c>
      <c r="T122" t="n">
        <v>0</v>
      </c>
      <c r="U122" s="2" t="inlineStr"/>
    </row>
    <row r="123" ht="15" customHeight="1">
      <c r="A123" t="inlineStr">
        <is>
          <t>A 566-2025</t>
        </is>
      </c>
      <c r="B123" t="inlineStr">
        <is>
          <t>avverkningsanmälan</t>
        </is>
      </c>
      <c r="C123" t="inlineStr">
        <is>
          <t>Föryngringsavverkning</t>
        </is>
      </c>
      <c r="D123" s="1" t="n">
        <v>45660</v>
      </c>
      <c r="E123" s="1" t="n">
        <v>46220</v>
      </c>
      <c r="F123" t="inlineStr">
        <is>
          <t>VÄSTERBOTTENS LÄN</t>
        </is>
      </c>
      <c r="G123" t="inlineStr">
        <is>
          <t>SORSELE</t>
        </is>
      </c>
      <c r="I123" t="n">
        <v>6.7</v>
      </c>
      <c r="J123" t="n">
        <v>0</v>
      </c>
      <c r="K123" t="n">
        <v>0</v>
      </c>
      <c r="L123" t="n">
        <v>0</v>
      </c>
      <c r="M123" t="n">
        <v>0</v>
      </c>
      <c r="N123" t="n">
        <v>0</v>
      </c>
      <c r="O123" t="n">
        <v>0</v>
      </c>
      <c r="P123" t="n">
        <v>0</v>
      </c>
      <c r="Q123" t="n">
        <v>0</v>
      </c>
      <c r="R123" t="n">
        <v>0</v>
      </c>
      <c r="S123" t="n">
        <v>0</v>
      </c>
      <c r="T123" t="n">
        <v>0</v>
      </c>
      <c r="U123" s="2" t="inlineStr"/>
    </row>
    <row r="124" ht="15" customHeight="1">
      <c r="A124" t="inlineStr">
        <is>
          <t>A 15235-2024</t>
        </is>
      </c>
      <c r="B124" t="inlineStr">
        <is>
          <t>avverkningsanmälan</t>
        </is>
      </c>
      <c r="C124" t="inlineStr">
        <is>
          <t>Föryngringsavverkning</t>
        </is>
      </c>
      <c r="D124" s="1" t="n">
        <v>45400</v>
      </c>
      <c r="E124" s="1" t="n">
        <v>46220</v>
      </c>
      <c r="F124" t="inlineStr">
        <is>
          <t>VÄSTERBOTTENS LÄN</t>
        </is>
      </c>
      <c r="G124" t="inlineStr">
        <is>
          <t>SORSELE</t>
        </is>
      </c>
      <c r="I124" t="n">
        <v>6.6</v>
      </c>
      <c r="J124" t="n">
        <v>0</v>
      </c>
      <c r="K124" t="n">
        <v>0</v>
      </c>
      <c r="L124" t="n">
        <v>0</v>
      </c>
      <c r="M124" t="n">
        <v>0</v>
      </c>
      <c r="N124" t="n">
        <v>0</v>
      </c>
      <c r="O124" t="n">
        <v>0</v>
      </c>
      <c r="P124" t="n">
        <v>0</v>
      </c>
      <c r="Q124" t="n">
        <v>0</v>
      </c>
      <c r="R124" t="n">
        <v>0</v>
      </c>
      <c r="S124" t="n">
        <v>0</v>
      </c>
      <c r="T124" t="n">
        <v>0</v>
      </c>
      <c r="U124" s="2" t="inlineStr"/>
    </row>
    <row r="125" ht="15" customHeight="1">
      <c r="A125" t="inlineStr">
        <is>
          <t>A 17365-2024</t>
        </is>
      </c>
      <c r="B125" t="inlineStr">
        <is>
          <t>avverkningsanmälan</t>
        </is>
      </c>
      <c r="C125" t="inlineStr">
        <is>
          <t>Föryngringsavverkning</t>
        </is>
      </c>
      <c r="D125" s="1" t="n">
        <v>45414</v>
      </c>
      <c r="E125" s="1" t="n">
        <v>46220</v>
      </c>
      <c r="F125" t="inlineStr">
        <is>
          <t>VÄSTERBOTTENS LÄN</t>
        </is>
      </c>
      <c r="G125" t="inlineStr">
        <is>
          <t>SORSELE</t>
        </is>
      </c>
      <c r="I125" t="n">
        <v>61</v>
      </c>
      <c r="J125" t="n">
        <v>0</v>
      </c>
      <c r="K125" t="n">
        <v>0</v>
      </c>
      <c r="L125" t="n">
        <v>0</v>
      </c>
      <c r="M125" t="n">
        <v>0</v>
      </c>
      <c r="N125" t="n">
        <v>0</v>
      </c>
      <c r="O125" t="n">
        <v>0</v>
      </c>
      <c r="P125" t="n">
        <v>0</v>
      </c>
      <c r="Q125" t="n">
        <v>0</v>
      </c>
      <c r="R125" t="n">
        <v>0</v>
      </c>
      <c r="S125" t="n">
        <v>0</v>
      </c>
      <c r="T125" t="n">
        <v>0</v>
      </c>
      <c r="U125" s="2" t="inlineStr"/>
    </row>
    <row r="126" ht="15" customHeight="1">
      <c r="A126" t="inlineStr">
        <is>
          <t>A 17384-2024</t>
        </is>
      </c>
      <c r="B126" t="inlineStr">
        <is>
          <t>avverkningsanmälan</t>
        </is>
      </c>
      <c r="C126" t="inlineStr">
        <is>
          <t>Föryngringsavverkning</t>
        </is>
      </c>
      <c r="D126" s="1" t="n">
        <v>45414</v>
      </c>
      <c r="E126" s="1" t="n">
        <v>46220</v>
      </c>
      <c r="F126" t="inlineStr">
        <is>
          <t>VÄSTERBOTTENS LÄN</t>
        </is>
      </c>
      <c r="G126" t="inlineStr">
        <is>
          <t>SORSELE</t>
        </is>
      </c>
      <c r="I126" t="n">
        <v>4.3</v>
      </c>
      <c r="J126" t="n">
        <v>0</v>
      </c>
      <c r="K126" t="n">
        <v>0</v>
      </c>
      <c r="L126" t="n">
        <v>0</v>
      </c>
      <c r="M126" t="n">
        <v>0</v>
      </c>
      <c r="N126" t="n">
        <v>0</v>
      </c>
      <c r="O126" t="n">
        <v>0</v>
      </c>
      <c r="P126" t="n">
        <v>0</v>
      </c>
      <c r="Q126" t="n">
        <v>0</v>
      </c>
      <c r="R126" t="n">
        <v>0</v>
      </c>
      <c r="S126" t="n">
        <v>0</v>
      </c>
      <c r="T126" t="n">
        <v>0</v>
      </c>
      <c r="U126" s="2" t="inlineStr"/>
    </row>
    <row r="127" ht="15" customHeight="1">
      <c r="A127" t="inlineStr">
        <is>
          <t>A 44478-2025</t>
        </is>
      </c>
      <c r="B127" t="inlineStr">
        <is>
          <t>avverkningsanmälan</t>
        </is>
      </c>
      <c r="C127" t="inlineStr">
        <is>
          <t>Avverkning för annat ändamål</t>
        </is>
      </c>
      <c r="D127" s="1" t="n">
        <v>45916</v>
      </c>
      <c r="E127" s="1" t="n">
        <v>46220</v>
      </c>
      <c r="F127" t="inlineStr">
        <is>
          <t>VÄSTERBOTTENS LÄN</t>
        </is>
      </c>
      <c r="G127" t="inlineStr">
        <is>
          <t>SORSELE</t>
        </is>
      </c>
      <c r="H127" t="inlineStr">
        <is>
          <t>Sveaskog</t>
        </is>
      </c>
      <c r="I127" t="n">
        <v>4.5</v>
      </c>
      <c r="J127" t="n">
        <v>0</v>
      </c>
      <c r="K127" t="n">
        <v>0</v>
      </c>
      <c r="L127" t="n">
        <v>0</v>
      </c>
      <c r="M127" t="n">
        <v>0</v>
      </c>
      <c r="N127" t="n">
        <v>0</v>
      </c>
      <c r="O127" t="n">
        <v>0</v>
      </c>
      <c r="P127" t="n">
        <v>0</v>
      </c>
      <c r="Q127" t="n">
        <v>0</v>
      </c>
      <c r="R127" t="n">
        <v>0</v>
      </c>
      <c r="S127" t="n">
        <v>0</v>
      </c>
      <c r="T127" t="n">
        <v>0</v>
      </c>
      <c r="U127" s="2" t="inlineStr"/>
    </row>
    <row r="128" ht="15" customHeight="1">
      <c r="A128" t="inlineStr">
        <is>
          <t>A 17326-2024</t>
        </is>
      </c>
      <c r="B128" t="inlineStr">
        <is>
          <t>avverkningsanmälan</t>
        </is>
      </c>
      <c r="C128" t="inlineStr">
        <is>
          <t>Föryngringsavverkning</t>
        </is>
      </c>
      <c r="D128" s="1" t="n">
        <v>45414</v>
      </c>
      <c r="E128" s="1" t="n">
        <v>46220</v>
      </c>
      <c r="F128" t="inlineStr">
        <is>
          <t>VÄSTERBOTTENS LÄN</t>
        </is>
      </c>
      <c r="G128" t="inlineStr">
        <is>
          <t>SORSELE</t>
        </is>
      </c>
      <c r="I128" t="n">
        <v>18.2</v>
      </c>
      <c r="J128" t="n">
        <v>0</v>
      </c>
      <c r="K128" t="n">
        <v>0</v>
      </c>
      <c r="L128" t="n">
        <v>0</v>
      </c>
      <c r="M128" t="n">
        <v>0</v>
      </c>
      <c r="N128" t="n">
        <v>0</v>
      </c>
      <c r="O128" t="n">
        <v>0</v>
      </c>
      <c r="P128" t="n">
        <v>0</v>
      </c>
      <c r="Q128" t="n">
        <v>0</v>
      </c>
      <c r="R128" t="n">
        <v>0</v>
      </c>
      <c r="S128" t="n">
        <v>0</v>
      </c>
      <c r="T128" t="n">
        <v>0</v>
      </c>
      <c r="U128" s="2" t="inlineStr"/>
    </row>
    <row r="129" ht="15" customHeight="1">
      <c r="A129" t="inlineStr">
        <is>
          <t>A 17379-2024</t>
        </is>
      </c>
      <c r="B129" t="inlineStr">
        <is>
          <t>avverkningsanmälan</t>
        </is>
      </c>
      <c r="C129" t="inlineStr">
        <is>
          <t>Föryngringsavverkning</t>
        </is>
      </c>
      <c r="D129" s="1" t="n">
        <v>45414</v>
      </c>
      <c r="E129" s="1" t="n">
        <v>46220</v>
      </c>
      <c r="F129" t="inlineStr">
        <is>
          <t>VÄSTERBOTTENS LÄN</t>
        </is>
      </c>
      <c r="G129" t="inlineStr">
        <is>
          <t>SORSELE</t>
        </is>
      </c>
      <c r="I129" t="n">
        <v>48.8</v>
      </c>
      <c r="J129" t="n">
        <v>0</v>
      </c>
      <c r="K129" t="n">
        <v>0</v>
      </c>
      <c r="L129" t="n">
        <v>0</v>
      </c>
      <c r="M129" t="n">
        <v>0</v>
      </c>
      <c r="N129" t="n">
        <v>0</v>
      </c>
      <c r="O129" t="n">
        <v>0</v>
      </c>
      <c r="P129" t="n">
        <v>0</v>
      </c>
      <c r="Q129" t="n">
        <v>0</v>
      </c>
      <c r="R129" t="n">
        <v>0</v>
      </c>
      <c r="S129" t="n">
        <v>0</v>
      </c>
      <c r="T129" t="n">
        <v>0</v>
      </c>
      <c r="U129" s="2" t="inlineStr"/>
    </row>
    <row r="130" ht="15" customHeight="1">
      <c r="A130" t="inlineStr">
        <is>
          <t>A 29732-2023</t>
        </is>
      </c>
      <c r="B130" t="inlineStr">
        <is>
          <t>avverkningsanmälan</t>
        </is>
      </c>
      <c r="C130" t="inlineStr">
        <is>
          <t>Föryngringsavverkning</t>
        </is>
      </c>
      <c r="D130" s="1" t="n">
        <v>45107</v>
      </c>
      <c r="E130" s="1" t="n">
        <v>46220</v>
      </c>
      <c r="F130" t="inlineStr">
        <is>
          <t>VÄSTERBOTTENS LÄN</t>
        </is>
      </c>
      <c r="G130" t="inlineStr">
        <is>
          <t>SORSELE</t>
        </is>
      </c>
      <c r="I130" t="n">
        <v>6.7</v>
      </c>
      <c r="J130" t="n">
        <v>0</v>
      </c>
      <c r="K130" t="n">
        <v>0</v>
      </c>
      <c r="L130" t="n">
        <v>0</v>
      </c>
      <c r="M130" t="n">
        <v>0</v>
      </c>
      <c r="N130" t="n">
        <v>0</v>
      </c>
      <c r="O130" t="n">
        <v>0</v>
      </c>
      <c r="P130" t="n">
        <v>0</v>
      </c>
      <c r="Q130" t="n">
        <v>0</v>
      </c>
      <c r="R130" t="n">
        <v>0</v>
      </c>
      <c r="S130" t="n">
        <v>0</v>
      </c>
      <c r="T130" t="n">
        <v>0</v>
      </c>
      <c r="U130" s="2" t="inlineStr"/>
    </row>
    <row r="131" ht="15" customHeight="1">
      <c r="A131" t="inlineStr">
        <is>
          <t>A 45395-2025</t>
        </is>
      </c>
      <c r="B131" t="inlineStr">
        <is>
          <t>avverkningsanmälan</t>
        </is>
      </c>
      <c r="C131" t="inlineStr">
        <is>
          <t>Föryngringsavverkning</t>
        </is>
      </c>
      <c r="D131" s="1" t="n">
        <v>45922</v>
      </c>
      <c r="E131" s="1" t="n">
        <v>46220</v>
      </c>
      <c r="F131" t="inlineStr">
        <is>
          <t>VÄSTERBOTTENS LÄN</t>
        </is>
      </c>
      <c r="G131" t="inlineStr">
        <is>
          <t>SORSELE</t>
        </is>
      </c>
      <c r="I131" t="n">
        <v>11.2</v>
      </c>
      <c r="J131" t="n">
        <v>0</v>
      </c>
      <c r="K131" t="n">
        <v>0</v>
      </c>
      <c r="L131" t="n">
        <v>0</v>
      </c>
      <c r="M131" t="n">
        <v>0</v>
      </c>
      <c r="N131" t="n">
        <v>0</v>
      </c>
      <c r="O131" t="n">
        <v>0</v>
      </c>
      <c r="P131" t="n">
        <v>0</v>
      </c>
      <c r="Q131" t="n">
        <v>0</v>
      </c>
      <c r="R131" t="n">
        <v>0</v>
      </c>
      <c r="S131" t="n">
        <v>0</v>
      </c>
      <c r="T131" t="n">
        <v>0</v>
      </c>
      <c r="U131" s="2" t="inlineStr"/>
    </row>
    <row r="132" ht="15" customHeight="1">
      <c r="A132" t="inlineStr">
        <is>
          <t>A 50945-2024</t>
        </is>
      </c>
      <c r="B132" t="inlineStr">
        <is>
          <t>avverkningsanmälan</t>
        </is>
      </c>
      <c r="C132" t="inlineStr">
        <is>
          <t>Föryngringsavverkning</t>
        </is>
      </c>
      <c r="D132" s="1" t="n">
        <v>45602</v>
      </c>
      <c r="E132" s="1" t="n">
        <v>46220</v>
      </c>
      <c r="F132" t="inlineStr">
        <is>
          <t>VÄSTERBOTTENS LÄN</t>
        </is>
      </c>
      <c r="G132" t="inlineStr">
        <is>
          <t>SORSELE</t>
        </is>
      </c>
      <c r="I132" t="n">
        <v>12.7</v>
      </c>
      <c r="J132" t="n">
        <v>0</v>
      </c>
      <c r="K132" t="n">
        <v>0</v>
      </c>
      <c r="L132" t="n">
        <v>0</v>
      </c>
      <c r="M132" t="n">
        <v>0</v>
      </c>
      <c r="N132" t="n">
        <v>0</v>
      </c>
      <c r="O132" t="n">
        <v>0</v>
      </c>
      <c r="P132" t="n">
        <v>0</v>
      </c>
      <c r="Q132" t="n">
        <v>0</v>
      </c>
      <c r="R132" t="n">
        <v>0</v>
      </c>
      <c r="S132" t="n">
        <v>0</v>
      </c>
      <c r="T132" t="n">
        <v>0</v>
      </c>
      <c r="U132" s="2" t="inlineStr"/>
    </row>
    <row r="133" ht="15" customHeight="1">
      <c r="A133" t="inlineStr">
        <is>
          <t>A 9821-2023</t>
        </is>
      </c>
      <c r="B133" t="inlineStr">
        <is>
          <t>avverkningsanmälan</t>
        </is>
      </c>
      <c r="C133" t="inlineStr">
        <is>
          <t>Föryngringsavverkning</t>
        </is>
      </c>
      <c r="D133" s="1" t="n">
        <v>44978</v>
      </c>
      <c r="E133" s="1" t="n">
        <v>46220</v>
      </c>
      <c r="F133" t="inlineStr">
        <is>
          <t>VÄSTERBOTTENS LÄN</t>
        </is>
      </c>
      <c r="G133" t="inlineStr">
        <is>
          <t>SORSELE</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46798-2025</t>
        </is>
      </c>
      <c r="B134" t="inlineStr">
        <is>
          <t>avverkningsanmälan</t>
        </is>
      </c>
      <c r="C134" t="inlineStr">
        <is>
          <t>Föryngringsavverkning</t>
        </is>
      </c>
      <c r="D134" s="1" t="n">
        <v>45926</v>
      </c>
      <c r="E134" s="1" t="n">
        <v>46220</v>
      </c>
      <c r="F134" t="inlineStr">
        <is>
          <t>VÄSTERBOTTENS LÄN</t>
        </is>
      </c>
      <c r="G134" t="inlineStr">
        <is>
          <t>SORSELE</t>
        </is>
      </c>
      <c r="I134" t="n">
        <v>5.8</v>
      </c>
      <c r="J134" t="n">
        <v>0</v>
      </c>
      <c r="K134" t="n">
        <v>0</v>
      </c>
      <c r="L134" t="n">
        <v>0</v>
      </c>
      <c r="M134" t="n">
        <v>0</v>
      </c>
      <c r="N134" t="n">
        <v>0</v>
      </c>
      <c r="O134" t="n">
        <v>0</v>
      </c>
      <c r="P134" t="n">
        <v>0</v>
      </c>
      <c r="Q134" t="n">
        <v>0</v>
      </c>
      <c r="R134" t="n">
        <v>0</v>
      </c>
      <c r="S134" t="n">
        <v>0</v>
      </c>
      <c r="T134" t="n">
        <v>0</v>
      </c>
      <c r="U134" s="2" t="inlineStr"/>
    </row>
    <row r="135" ht="15" customHeight="1">
      <c r="A135" t="inlineStr">
        <is>
          <t>A 38270-2024</t>
        </is>
      </c>
      <c r="B135" t="inlineStr">
        <is>
          <t>avverkningsanmälan</t>
        </is>
      </c>
      <c r="C135" t="inlineStr">
        <is>
          <t>Föryngringsavverkning</t>
        </is>
      </c>
      <c r="D135" s="1" t="n">
        <v>45545</v>
      </c>
      <c r="E135" s="1" t="n">
        <v>46220</v>
      </c>
      <c r="F135" t="inlineStr">
        <is>
          <t>VÄSTERBOTTENS LÄN</t>
        </is>
      </c>
      <c r="G135" t="inlineStr">
        <is>
          <t>SORSELE</t>
        </is>
      </c>
      <c r="I135" t="n">
        <v>14.8</v>
      </c>
      <c r="J135" t="n">
        <v>0</v>
      </c>
      <c r="K135" t="n">
        <v>0</v>
      </c>
      <c r="L135" t="n">
        <v>0</v>
      </c>
      <c r="M135" t="n">
        <v>0</v>
      </c>
      <c r="N135" t="n">
        <v>0</v>
      </c>
      <c r="O135" t="n">
        <v>0</v>
      </c>
      <c r="P135" t="n">
        <v>0</v>
      </c>
      <c r="Q135" t="n">
        <v>0</v>
      </c>
      <c r="R135" t="n">
        <v>0</v>
      </c>
      <c r="S135" t="n">
        <v>0</v>
      </c>
      <c r="T135" t="n">
        <v>0</v>
      </c>
      <c r="U135" s="2" t="inlineStr"/>
    </row>
    <row r="136" ht="15" customHeight="1">
      <c r="A136" t="inlineStr">
        <is>
          <t>A 63103-2021</t>
        </is>
      </c>
      <c r="B136" t="inlineStr">
        <is>
          <t>avverkningsanmälan</t>
        </is>
      </c>
      <c r="C136" t="inlineStr">
        <is>
          <t>Föryngringsavverkning</t>
        </is>
      </c>
      <c r="D136" s="1" t="n">
        <v>44505</v>
      </c>
      <c r="E136" s="1" t="n">
        <v>46220</v>
      </c>
      <c r="F136" t="inlineStr">
        <is>
          <t>VÄSTERBOTTENS LÄN</t>
        </is>
      </c>
      <c r="G136" t="inlineStr">
        <is>
          <t>SORSELE</t>
        </is>
      </c>
      <c r="I136" t="n">
        <v>13.9</v>
      </c>
      <c r="J136" t="n">
        <v>0</v>
      </c>
      <c r="K136" t="n">
        <v>0</v>
      </c>
      <c r="L136" t="n">
        <v>0</v>
      </c>
      <c r="M136" t="n">
        <v>0</v>
      </c>
      <c r="N136" t="n">
        <v>0</v>
      </c>
      <c r="O136" t="n">
        <v>0</v>
      </c>
      <c r="P136" t="n">
        <v>0</v>
      </c>
      <c r="Q136" t="n">
        <v>0</v>
      </c>
      <c r="R136" t="n">
        <v>0</v>
      </c>
      <c r="S136" t="n">
        <v>0</v>
      </c>
      <c r="T136" t="n">
        <v>0</v>
      </c>
      <c r="U136" s="2" t="inlineStr"/>
    </row>
    <row r="137" ht="15" customHeight="1">
      <c r="A137" t="inlineStr">
        <is>
          <t>A 35697-2025</t>
        </is>
      </c>
      <c r="B137" t="inlineStr">
        <is>
          <t>avverkningsanmälan</t>
        </is>
      </c>
      <c r="C137" t="inlineStr">
        <is>
          <t>Föryngringsavverkning</t>
        </is>
      </c>
      <c r="D137" s="1" t="n">
        <v>45860</v>
      </c>
      <c r="E137" s="1" t="n">
        <v>46220</v>
      </c>
      <c r="F137" t="inlineStr">
        <is>
          <t>VÄSTERBOTTENS LÄN</t>
        </is>
      </c>
      <c r="G137" t="inlineStr">
        <is>
          <t>SORSELE</t>
        </is>
      </c>
      <c r="H137" t="inlineStr">
        <is>
          <t>Sveaskog</t>
        </is>
      </c>
      <c r="I137" t="n">
        <v>8.199999999999999</v>
      </c>
      <c r="J137" t="n">
        <v>0</v>
      </c>
      <c r="K137" t="n">
        <v>0</v>
      </c>
      <c r="L137" t="n">
        <v>0</v>
      </c>
      <c r="M137" t="n">
        <v>0</v>
      </c>
      <c r="N137" t="n">
        <v>0</v>
      </c>
      <c r="O137" t="n">
        <v>0</v>
      </c>
      <c r="P137" t="n">
        <v>0</v>
      </c>
      <c r="Q137" t="n">
        <v>0</v>
      </c>
      <c r="R137" t="n">
        <v>0</v>
      </c>
      <c r="S137" t="n">
        <v>0</v>
      </c>
      <c r="T137" t="n">
        <v>0</v>
      </c>
      <c r="U137" s="2" t="inlineStr"/>
    </row>
    <row r="138" ht="15" customHeight="1">
      <c r="A138" t="inlineStr">
        <is>
          <t>A 35701-2025</t>
        </is>
      </c>
      <c r="B138" t="inlineStr">
        <is>
          <t>avverkningsanmälan</t>
        </is>
      </c>
      <c r="C138" t="inlineStr">
        <is>
          <t>Föryngringsavverkning</t>
        </is>
      </c>
      <c r="D138" s="1" t="n">
        <v>45860</v>
      </c>
      <c r="E138" s="1" t="n">
        <v>46220</v>
      </c>
      <c r="F138" t="inlineStr">
        <is>
          <t>VÄSTERBOTTENS LÄN</t>
        </is>
      </c>
      <c r="G138" t="inlineStr">
        <is>
          <t>SORSELE</t>
        </is>
      </c>
      <c r="H138" t="inlineStr">
        <is>
          <t>Sveaskog</t>
        </is>
      </c>
      <c r="I138" t="n">
        <v>12.5</v>
      </c>
      <c r="J138" t="n">
        <v>0</v>
      </c>
      <c r="K138" t="n">
        <v>0</v>
      </c>
      <c r="L138" t="n">
        <v>0</v>
      </c>
      <c r="M138" t="n">
        <v>0</v>
      </c>
      <c r="N138" t="n">
        <v>0</v>
      </c>
      <c r="O138" t="n">
        <v>0</v>
      </c>
      <c r="P138" t="n">
        <v>0</v>
      </c>
      <c r="Q138" t="n">
        <v>0</v>
      </c>
      <c r="R138" t="n">
        <v>0</v>
      </c>
      <c r="S138" t="n">
        <v>0</v>
      </c>
      <c r="T138" t="n">
        <v>0</v>
      </c>
      <c r="U138" s="2" t="inlineStr"/>
    </row>
    <row r="139" ht="15" customHeight="1">
      <c r="A139" t="inlineStr">
        <is>
          <t>A 35730-2025</t>
        </is>
      </c>
      <c r="B139" t="inlineStr">
        <is>
          <t>avverkningsanmälan</t>
        </is>
      </c>
      <c r="C139" t="inlineStr">
        <is>
          <t>Föryngringsavverkning</t>
        </is>
      </c>
      <c r="D139" s="1" t="n">
        <v>45860</v>
      </c>
      <c r="E139" s="1" t="n">
        <v>46220</v>
      </c>
      <c r="F139" t="inlineStr">
        <is>
          <t>VÄSTERBOTTENS LÄN</t>
        </is>
      </c>
      <c r="G139" t="inlineStr">
        <is>
          <t>SORSELE</t>
        </is>
      </c>
      <c r="H139" t="inlineStr">
        <is>
          <t>Sveaskog</t>
        </is>
      </c>
      <c r="I139" t="n">
        <v>10.7</v>
      </c>
      <c r="J139" t="n">
        <v>0</v>
      </c>
      <c r="K139" t="n">
        <v>0</v>
      </c>
      <c r="L139" t="n">
        <v>0</v>
      </c>
      <c r="M139" t="n">
        <v>0</v>
      </c>
      <c r="N139" t="n">
        <v>0</v>
      </c>
      <c r="O139" t="n">
        <v>0</v>
      </c>
      <c r="P139" t="n">
        <v>0</v>
      </c>
      <c r="Q139" t="n">
        <v>0</v>
      </c>
      <c r="R139" t="n">
        <v>0</v>
      </c>
      <c r="S139" t="n">
        <v>0</v>
      </c>
      <c r="T139" t="n">
        <v>0</v>
      </c>
      <c r="U139" s="2" t="inlineStr"/>
    </row>
    <row r="140" ht="15" customHeight="1">
      <c r="A140" t="inlineStr">
        <is>
          <t>A 47660-2025</t>
        </is>
      </c>
      <c r="B140" t="inlineStr">
        <is>
          <t>avverkningsanmälan</t>
        </is>
      </c>
      <c r="C140" t="inlineStr">
        <is>
          <t>Föryngringsavverkning</t>
        </is>
      </c>
      <c r="D140" s="1" t="n">
        <v>45931</v>
      </c>
      <c r="E140" s="1" t="n">
        <v>46220</v>
      </c>
      <c r="F140" t="inlineStr">
        <is>
          <t>VÄSTERBOTTENS LÄN</t>
        </is>
      </c>
      <c r="G140" t="inlineStr">
        <is>
          <t>SORSELE</t>
        </is>
      </c>
      <c r="I140" t="n">
        <v>4.9</v>
      </c>
      <c r="J140" t="n">
        <v>0</v>
      </c>
      <c r="K140" t="n">
        <v>0</v>
      </c>
      <c r="L140" t="n">
        <v>0</v>
      </c>
      <c r="M140" t="n">
        <v>0</v>
      </c>
      <c r="N140" t="n">
        <v>0</v>
      </c>
      <c r="O140" t="n">
        <v>0</v>
      </c>
      <c r="P140" t="n">
        <v>0</v>
      </c>
      <c r="Q140" t="n">
        <v>0</v>
      </c>
      <c r="R140" t="n">
        <v>0</v>
      </c>
      <c r="S140" t="n">
        <v>0</v>
      </c>
      <c r="T140" t="n">
        <v>0</v>
      </c>
      <c r="U140" s="2" t="inlineStr"/>
    </row>
    <row r="141" ht="15" customHeight="1">
      <c r="A141" t="inlineStr">
        <is>
          <t>A 16623-2023</t>
        </is>
      </c>
      <c r="B141" t="inlineStr">
        <is>
          <t>avverkningsanmälan</t>
        </is>
      </c>
      <c r="C141" t="inlineStr">
        <is>
          <t>Föryngringsavverkning</t>
        </is>
      </c>
      <c r="D141" s="1" t="n">
        <v>45027</v>
      </c>
      <c r="E141" s="1" t="n">
        <v>46220</v>
      </c>
      <c r="F141" t="inlineStr">
        <is>
          <t>VÄSTERBOTTENS LÄN</t>
        </is>
      </c>
      <c r="G141" t="inlineStr">
        <is>
          <t>SORSELE</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35709-2025</t>
        </is>
      </c>
      <c r="B142" t="inlineStr">
        <is>
          <t>avverkningsanmälan</t>
        </is>
      </c>
      <c r="C142" t="inlineStr">
        <is>
          <t>Föryngringsavverkning</t>
        </is>
      </c>
      <c r="D142" s="1" t="n">
        <v>45860</v>
      </c>
      <c r="E142" s="1" t="n">
        <v>46220</v>
      </c>
      <c r="F142" t="inlineStr">
        <is>
          <t>VÄSTERBOTTENS LÄN</t>
        </is>
      </c>
      <c r="G142" t="inlineStr">
        <is>
          <t>SORSELE</t>
        </is>
      </c>
      <c r="H142" t="inlineStr">
        <is>
          <t>Sveaskog</t>
        </is>
      </c>
      <c r="I142" t="n">
        <v>7.2</v>
      </c>
      <c r="J142" t="n">
        <v>0</v>
      </c>
      <c r="K142" t="n">
        <v>0</v>
      </c>
      <c r="L142" t="n">
        <v>0</v>
      </c>
      <c r="M142" t="n">
        <v>0</v>
      </c>
      <c r="N142" t="n">
        <v>0</v>
      </c>
      <c r="O142" t="n">
        <v>0</v>
      </c>
      <c r="P142" t="n">
        <v>0</v>
      </c>
      <c r="Q142" t="n">
        <v>0</v>
      </c>
      <c r="R142" t="n">
        <v>0</v>
      </c>
      <c r="S142" t="n">
        <v>0</v>
      </c>
      <c r="T142" t="n">
        <v>0</v>
      </c>
      <c r="U142" s="2" t="inlineStr"/>
    </row>
    <row r="143" ht="15" customHeight="1">
      <c r="A143" t="inlineStr">
        <is>
          <t>A 47740-2025</t>
        </is>
      </c>
      <c r="B143" t="inlineStr">
        <is>
          <t>avverkningsanmälan</t>
        </is>
      </c>
      <c r="C143" t="inlineStr">
        <is>
          <t>Föryngringsavverkning</t>
        </is>
      </c>
      <c r="D143" s="1" t="n">
        <v>45931</v>
      </c>
      <c r="E143" s="1" t="n">
        <v>46220</v>
      </c>
      <c r="F143" t="inlineStr">
        <is>
          <t>VÄSTERBOTTENS LÄN</t>
        </is>
      </c>
      <c r="G143" t="inlineStr">
        <is>
          <t>SORSELE</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22568-2023</t>
        </is>
      </c>
      <c r="B144" t="inlineStr">
        <is>
          <t>avverkningsanmälan</t>
        </is>
      </c>
      <c r="C144" t="inlineStr">
        <is>
          <t>Avverkning för annat ändamål</t>
        </is>
      </c>
      <c r="D144" s="1" t="n">
        <v>45069</v>
      </c>
      <c r="E144" s="1" t="n">
        <v>46220</v>
      </c>
      <c r="F144" t="inlineStr">
        <is>
          <t>VÄSTERBOTTENS LÄN</t>
        </is>
      </c>
      <c r="G144" t="inlineStr">
        <is>
          <t>SORSELE</t>
        </is>
      </c>
      <c r="H144" t="inlineStr">
        <is>
          <t>Sveaskog</t>
        </is>
      </c>
      <c r="I144" t="n">
        <v>3.7</v>
      </c>
      <c r="J144" t="n">
        <v>0</v>
      </c>
      <c r="K144" t="n">
        <v>0</v>
      </c>
      <c r="L144" t="n">
        <v>0</v>
      </c>
      <c r="M144" t="n">
        <v>0</v>
      </c>
      <c r="N144" t="n">
        <v>0</v>
      </c>
      <c r="O144" t="n">
        <v>0</v>
      </c>
      <c r="P144" t="n">
        <v>0</v>
      </c>
      <c r="Q144" t="n">
        <v>0</v>
      </c>
      <c r="R144" t="n">
        <v>0</v>
      </c>
      <c r="S144" t="n">
        <v>0</v>
      </c>
      <c r="T144" t="n">
        <v>0</v>
      </c>
      <c r="U144" s="2" t="inlineStr"/>
    </row>
    <row r="145" ht="15" customHeight="1">
      <c r="A145" t="inlineStr">
        <is>
          <t>A 29492-2025</t>
        </is>
      </c>
      <c r="B145" t="inlineStr">
        <is>
          <t>avverkningsanmälan</t>
        </is>
      </c>
      <c r="C145" t="inlineStr">
        <is>
          <t>Föryngringsavverkning</t>
        </is>
      </c>
      <c r="D145" s="1" t="n">
        <v>45824</v>
      </c>
      <c r="E145" s="1" t="n">
        <v>46220</v>
      </c>
      <c r="F145" t="inlineStr">
        <is>
          <t>VÄSTERBOTTENS LÄN</t>
        </is>
      </c>
      <c r="G145" t="inlineStr">
        <is>
          <t>SORSELE</t>
        </is>
      </c>
      <c r="I145" t="n">
        <v>9.6</v>
      </c>
      <c r="J145" t="n">
        <v>0</v>
      </c>
      <c r="K145" t="n">
        <v>0</v>
      </c>
      <c r="L145" t="n">
        <v>0</v>
      </c>
      <c r="M145" t="n">
        <v>0</v>
      </c>
      <c r="N145" t="n">
        <v>0</v>
      </c>
      <c r="O145" t="n">
        <v>0</v>
      </c>
      <c r="P145" t="n">
        <v>0</v>
      </c>
      <c r="Q145" t="n">
        <v>0</v>
      </c>
      <c r="R145" t="n">
        <v>0</v>
      </c>
      <c r="S145" t="n">
        <v>0</v>
      </c>
      <c r="T145" t="n">
        <v>0</v>
      </c>
      <c r="U145" s="2" t="inlineStr"/>
    </row>
    <row r="146" ht="15" customHeight="1">
      <c r="A146" t="inlineStr">
        <is>
          <t>A 3953-2026</t>
        </is>
      </c>
      <c r="B146" t="inlineStr">
        <is>
          <t>avverkningsanmälan</t>
        </is>
      </c>
      <c r="C146" t="inlineStr">
        <is>
          <t>Föryngringsavverkning</t>
        </is>
      </c>
      <c r="D146" s="1" t="n">
        <v>46043</v>
      </c>
      <c r="E146" s="1" t="n">
        <v>46220</v>
      </c>
      <c r="F146" t="inlineStr">
        <is>
          <t>VÄSTERBOTTENS LÄN</t>
        </is>
      </c>
      <c r="G146" t="inlineStr">
        <is>
          <t>SORSELE</t>
        </is>
      </c>
      <c r="I146" t="n">
        <v>3.1</v>
      </c>
      <c r="J146" t="n">
        <v>0</v>
      </c>
      <c r="K146" t="n">
        <v>0</v>
      </c>
      <c r="L146" t="n">
        <v>0</v>
      </c>
      <c r="M146" t="n">
        <v>0</v>
      </c>
      <c r="N146" t="n">
        <v>0</v>
      </c>
      <c r="O146" t="n">
        <v>0</v>
      </c>
      <c r="P146" t="n">
        <v>0</v>
      </c>
      <c r="Q146" t="n">
        <v>0</v>
      </c>
      <c r="R146" t="n">
        <v>0</v>
      </c>
      <c r="S146" t="n">
        <v>0</v>
      </c>
      <c r="T146" t="n">
        <v>0</v>
      </c>
      <c r="U146" s="2" t="inlineStr"/>
    </row>
    <row r="147" ht="15" customHeight="1">
      <c r="A147" t="inlineStr">
        <is>
          <t>A 3879-2026</t>
        </is>
      </c>
      <c r="B147" t="inlineStr">
        <is>
          <t>avverkningsanmälan</t>
        </is>
      </c>
      <c r="C147" t="inlineStr">
        <is>
          <t>Föryngringsavverkning</t>
        </is>
      </c>
      <c r="D147" s="1" t="n">
        <v>46043</v>
      </c>
      <c r="E147" s="1" t="n">
        <v>46220</v>
      </c>
      <c r="F147" t="inlineStr">
        <is>
          <t>VÄSTERBOTTENS LÄN</t>
        </is>
      </c>
      <c r="G147" t="inlineStr">
        <is>
          <t>SORSELE</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9981-2022</t>
        </is>
      </c>
      <c r="B148" t="inlineStr">
        <is>
          <t>avverkningsanmälan</t>
        </is>
      </c>
      <c r="C148" t="inlineStr">
        <is>
          <t>Föryngringsavverkning</t>
        </is>
      </c>
      <c r="D148" s="1" t="n">
        <v>44606</v>
      </c>
      <c r="E148" s="1" t="n">
        <v>46220</v>
      </c>
      <c r="F148" t="inlineStr">
        <is>
          <t>VÄSTERBOTTENS LÄN</t>
        </is>
      </c>
      <c r="G148" t="inlineStr">
        <is>
          <t>SORSELE</t>
        </is>
      </c>
      <c r="I148" t="n">
        <v>18.4</v>
      </c>
      <c r="J148" t="n">
        <v>0</v>
      </c>
      <c r="K148" t="n">
        <v>0</v>
      </c>
      <c r="L148" t="n">
        <v>0</v>
      </c>
      <c r="M148" t="n">
        <v>0</v>
      </c>
      <c r="N148" t="n">
        <v>0</v>
      </c>
      <c r="O148" t="n">
        <v>0</v>
      </c>
      <c r="P148" t="n">
        <v>0</v>
      </c>
      <c r="Q148" t="n">
        <v>0</v>
      </c>
      <c r="R148" t="n">
        <v>0</v>
      </c>
      <c r="S148" t="n">
        <v>0</v>
      </c>
      <c r="T148" t="n">
        <v>0</v>
      </c>
      <c r="U148" s="2" t="inlineStr"/>
    </row>
    <row r="149" ht="15" customHeight="1">
      <c r="A149" t="inlineStr">
        <is>
          <t>A 37037-2025</t>
        </is>
      </c>
      <c r="B149" t="inlineStr">
        <is>
          <t>avverkningsanmälan</t>
        </is>
      </c>
      <c r="C149" t="inlineStr">
        <is>
          <t>Föryngringsavverkning</t>
        </is>
      </c>
      <c r="D149" s="1" t="n">
        <v>45875</v>
      </c>
      <c r="E149" s="1" t="n">
        <v>46220</v>
      </c>
      <c r="F149" t="inlineStr">
        <is>
          <t>VÄSTERBOTTENS LÄN</t>
        </is>
      </c>
      <c r="G149" t="inlineStr">
        <is>
          <t>SORSELE</t>
        </is>
      </c>
      <c r="I149" t="n">
        <v>17.9</v>
      </c>
      <c r="J149" t="n">
        <v>0</v>
      </c>
      <c r="K149" t="n">
        <v>0</v>
      </c>
      <c r="L149" t="n">
        <v>0</v>
      </c>
      <c r="M149" t="n">
        <v>0</v>
      </c>
      <c r="N149" t="n">
        <v>0</v>
      </c>
      <c r="O149" t="n">
        <v>0</v>
      </c>
      <c r="P149" t="n">
        <v>0</v>
      </c>
      <c r="Q149" t="n">
        <v>0</v>
      </c>
      <c r="R149" t="n">
        <v>0</v>
      </c>
      <c r="S149" t="n">
        <v>0</v>
      </c>
      <c r="T149" t="n">
        <v>0</v>
      </c>
      <c r="U149" s="2" t="inlineStr"/>
    </row>
    <row r="150" ht="15" customHeight="1">
      <c r="A150" t="inlineStr">
        <is>
          <t>A 12507-2023</t>
        </is>
      </c>
      <c r="B150" t="inlineStr">
        <is>
          <t>avverkningsanmälan</t>
        </is>
      </c>
      <c r="C150" t="inlineStr">
        <is>
          <t>Föryngringsavverkning</t>
        </is>
      </c>
      <c r="D150" s="1" t="n">
        <v>44999</v>
      </c>
      <c r="E150" s="1" t="n">
        <v>46220</v>
      </c>
      <c r="F150" t="inlineStr">
        <is>
          <t>VÄSTERBOTTENS LÄN</t>
        </is>
      </c>
      <c r="G150" t="inlineStr">
        <is>
          <t>SORSELE</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13088-2023</t>
        </is>
      </c>
      <c r="B151" t="inlineStr">
        <is>
          <t>avverkningsanmälan</t>
        </is>
      </c>
      <c r="C151" t="inlineStr">
        <is>
          <t>Föryngringsavverkning</t>
        </is>
      </c>
      <c r="D151" s="1" t="n">
        <v>45001</v>
      </c>
      <c r="E151" s="1" t="n">
        <v>46220</v>
      </c>
      <c r="F151" t="inlineStr">
        <is>
          <t>VÄSTERBOTTENS LÄN</t>
        </is>
      </c>
      <c r="G151" t="inlineStr">
        <is>
          <t>SORSELE</t>
        </is>
      </c>
      <c r="I151" t="n">
        <v>20</v>
      </c>
      <c r="J151" t="n">
        <v>0</v>
      </c>
      <c r="K151" t="n">
        <v>0</v>
      </c>
      <c r="L151" t="n">
        <v>0</v>
      </c>
      <c r="M151" t="n">
        <v>0</v>
      </c>
      <c r="N151" t="n">
        <v>0</v>
      </c>
      <c r="O151" t="n">
        <v>0</v>
      </c>
      <c r="P151" t="n">
        <v>0</v>
      </c>
      <c r="Q151" t="n">
        <v>0</v>
      </c>
      <c r="R151" t="n">
        <v>0</v>
      </c>
      <c r="S151" t="n">
        <v>0</v>
      </c>
      <c r="T151" t="n">
        <v>0</v>
      </c>
      <c r="U151" s="2" t="inlineStr"/>
    </row>
    <row r="152" ht="15" customHeight="1">
      <c r="A152" t="inlineStr">
        <is>
          <t>A 3601-2026</t>
        </is>
      </c>
      <c r="B152" t="inlineStr">
        <is>
          <t>avverkningsanmälan</t>
        </is>
      </c>
      <c r="C152" t="inlineStr">
        <is>
          <t>Avverkning för att bevara och utveckla /försöksver</t>
        </is>
      </c>
      <c r="D152" s="1" t="n">
        <v>46042</v>
      </c>
      <c r="E152" s="1" t="n">
        <v>46220</v>
      </c>
      <c r="F152" t="inlineStr">
        <is>
          <t>VÄSTERBOTTENS LÄN</t>
        </is>
      </c>
      <c r="G152" t="inlineStr">
        <is>
          <t>SORSELE</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4364-2026</t>
        </is>
      </c>
      <c r="B153" t="inlineStr">
        <is>
          <t>avverkningsanmälan</t>
        </is>
      </c>
      <c r="C153" t="inlineStr">
        <is>
          <t>Föryngringsavverkning</t>
        </is>
      </c>
      <c r="D153" s="1" t="n">
        <v>46045</v>
      </c>
      <c r="E153" s="1" t="n">
        <v>46220</v>
      </c>
      <c r="F153" t="inlineStr">
        <is>
          <t>VÄSTERBOTTENS LÄN</t>
        </is>
      </c>
      <c r="G153" t="inlineStr">
        <is>
          <t>SORSELE</t>
        </is>
      </c>
      <c r="H153" t="inlineStr">
        <is>
          <t>Sveaskog</t>
        </is>
      </c>
      <c r="I153" t="n">
        <v>59.7</v>
      </c>
      <c r="J153" t="n">
        <v>0</v>
      </c>
      <c r="K153" t="n">
        <v>0</v>
      </c>
      <c r="L153" t="n">
        <v>0</v>
      </c>
      <c r="M153" t="n">
        <v>0</v>
      </c>
      <c r="N153" t="n">
        <v>0</v>
      </c>
      <c r="O153" t="n">
        <v>0</v>
      </c>
      <c r="P153" t="n">
        <v>0</v>
      </c>
      <c r="Q153" t="n">
        <v>0</v>
      </c>
      <c r="R153" t="n">
        <v>0</v>
      </c>
      <c r="S153" t="n">
        <v>0</v>
      </c>
      <c r="T153" t="n">
        <v>0</v>
      </c>
      <c r="U153" s="2" t="inlineStr"/>
    </row>
    <row r="154" ht="15" customHeight="1">
      <c r="A154" t="inlineStr">
        <is>
          <t>A 4367-2026</t>
        </is>
      </c>
      <c r="B154" t="inlineStr">
        <is>
          <t>avverkningsanmälan</t>
        </is>
      </c>
      <c r="C154" t="inlineStr">
        <is>
          <t>Föryngringsavverkning</t>
        </is>
      </c>
      <c r="D154" s="1" t="n">
        <v>46045</v>
      </c>
      <c r="E154" s="1" t="n">
        <v>46220</v>
      </c>
      <c r="F154" t="inlineStr">
        <is>
          <t>VÄSTERBOTTENS LÄN</t>
        </is>
      </c>
      <c r="G154" t="inlineStr">
        <is>
          <t>SORSELE</t>
        </is>
      </c>
      <c r="H154" t="inlineStr">
        <is>
          <t>Sveaskog</t>
        </is>
      </c>
      <c r="I154" t="n">
        <v>24.9</v>
      </c>
      <c r="J154" t="n">
        <v>0</v>
      </c>
      <c r="K154" t="n">
        <v>0</v>
      </c>
      <c r="L154" t="n">
        <v>0</v>
      </c>
      <c r="M154" t="n">
        <v>0</v>
      </c>
      <c r="N154" t="n">
        <v>0</v>
      </c>
      <c r="O154" t="n">
        <v>0</v>
      </c>
      <c r="P154" t="n">
        <v>0</v>
      </c>
      <c r="Q154" t="n">
        <v>0</v>
      </c>
      <c r="R154" t="n">
        <v>0</v>
      </c>
      <c r="S154" t="n">
        <v>0</v>
      </c>
      <c r="T154" t="n">
        <v>0</v>
      </c>
      <c r="U154" s="2" t="inlineStr"/>
    </row>
    <row r="155" ht="15" customHeight="1">
      <c r="A155" t="inlineStr">
        <is>
          <t>A 3756-2025</t>
        </is>
      </c>
      <c r="B155" t="inlineStr">
        <is>
          <t>avverkningsanmälan</t>
        </is>
      </c>
      <c r="C155" t="inlineStr">
        <is>
          <t>Föryngringsavverkning</t>
        </is>
      </c>
      <c r="D155" s="1" t="n">
        <v>45681</v>
      </c>
      <c r="E155" s="1" t="n">
        <v>46220</v>
      </c>
      <c r="F155" t="inlineStr">
        <is>
          <t>VÄSTERBOTTENS LÄN</t>
        </is>
      </c>
      <c r="G155" t="inlineStr">
        <is>
          <t>SORSELE</t>
        </is>
      </c>
      <c r="H155" t="inlineStr">
        <is>
          <t>Sveaskog</t>
        </is>
      </c>
      <c r="I155" t="n">
        <v>1.6</v>
      </c>
      <c r="J155" t="n">
        <v>0</v>
      </c>
      <c r="K155" t="n">
        <v>0</v>
      </c>
      <c r="L155" t="n">
        <v>0</v>
      </c>
      <c r="M155" t="n">
        <v>0</v>
      </c>
      <c r="N155" t="n">
        <v>0</v>
      </c>
      <c r="O155" t="n">
        <v>0</v>
      </c>
      <c r="P155" t="n">
        <v>0</v>
      </c>
      <c r="Q155" t="n">
        <v>0</v>
      </c>
      <c r="R155" t="n">
        <v>0</v>
      </c>
      <c r="S155" t="n">
        <v>0</v>
      </c>
      <c r="T155" t="n">
        <v>0</v>
      </c>
      <c r="U155" s="2" t="inlineStr"/>
    </row>
    <row r="156" ht="15" customHeight="1">
      <c r="A156" t="inlineStr">
        <is>
          <t>A 52213-2025</t>
        </is>
      </c>
      <c r="B156" t="inlineStr">
        <is>
          <t>avverkningsanmälan</t>
        </is>
      </c>
      <c r="C156" t="inlineStr">
        <is>
          <t>Föryngringsavverkning</t>
        </is>
      </c>
      <c r="D156" s="1" t="n">
        <v>45953</v>
      </c>
      <c r="E156" s="1" t="n">
        <v>46220</v>
      </c>
      <c r="F156" t="inlineStr">
        <is>
          <t>VÄSTERBOTTENS LÄN</t>
        </is>
      </c>
      <c r="G156" t="inlineStr">
        <is>
          <t>SORSELE</t>
        </is>
      </c>
      <c r="I156" t="n">
        <v>4.9</v>
      </c>
      <c r="J156" t="n">
        <v>0</v>
      </c>
      <c r="K156" t="n">
        <v>0</v>
      </c>
      <c r="L156" t="n">
        <v>0</v>
      </c>
      <c r="M156" t="n">
        <v>0</v>
      </c>
      <c r="N156" t="n">
        <v>0</v>
      </c>
      <c r="O156" t="n">
        <v>0</v>
      </c>
      <c r="P156" t="n">
        <v>0</v>
      </c>
      <c r="Q156" t="n">
        <v>0</v>
      </c>
      <c r="R156" t="n">
        <v>0</v>
      </c>
      <c r="S156" t="n">
        <v>0</v>
      </c>
      <c r="T156" t="n">
        <v>0</v>
      </c>
      <c r="U156" s="2" t="inlineStr"/>
    </row>
    <row r="157" ht="15" customHeight="1">
      <c r="A157" t="inlineStr">
        <is>
          <t>A 52215-2025</t>
        </is>
      </c>
      <c r="B157" t="inlineStr">
        <is>
          <t>avverkningsanmälan</t>
        </is>
      </c>
      <c r="C157" t="inlineStr">
        <is>
          <t>Föryngringsavverkning</t>
        </is>
      </c>
      <c r="D157" s="1" t="n">
        <v>45953</v>
      </c>
      <c r="E157" s="1" t="n">
        <v>46220</v>
      </c>
      <c r="F157" t="inlineStr">
        <is>
          <t>VÄSTERBOTTENS LÄN</t>
        </is>
      </c>
      <c r="G157" t="inlineStr">
        <is>
          <t>SORSELE</t>
        </is>
      </c>
      <c r="I157" t="n">
        <v>8</v>
      </c>
      <c r="J157" t="n">
        <v>0</v>
      </c>
      <c r="K157" t="n">
        <v>0</v>
      </c>
      <c r="L157" t="n">
        <v>0</v>
      </c>
      <c r="M157" t="n">
        <v>0</v>
      </c>
      <c r="N157" t="n">
        <v>0</v>
      </c>
      <c r="O157" t="n">
        <v>0</v>
      </c>
      <c r="P157" t="n">
        <v>0</v>
      </c>
      <c r="Q157" t="n">
        <v>0</v>
      </c>
      <c r="R157" t="n">
        <v>0</v>
      </c>
      <c r="S157" t="n">
        <v>0</v>
      </c>
      <c r="T157" t="n">
        <v>0</v>
      </c>
      <c r="U157" s="2" t="inlineStr"/>
    </row>
    <row r="158" ht="15" customHeight="1">
      <c r="A158" t="inlineStr">
        <is>
          <t>A 10818-2025</t>
        </is>
      </c>
      <c r="B158" t="inlineStr">
        <is>
          <t>avverkningsanmälan</t>
        </is>
      </c>
      <c r="C158" t="inlineStr">
        <is>
          <t>Föryngringsavverkning</t>
        </is>
      </c>
      <c r="D158" s="1" t="n">
        <v>45722</v>
      </c>
      <c r="E158" s="1" t="n">
        <v>46220</v>
      </c>
      <c r="F158" t="inlineStr">
        <is>
          <t>VÄSTERBOTTENS LÄN</t>
        </is>
      </c>
      <c r="G158" t="inlineStr">
        <is>
          <t>SORSELE</t>
        </is>
      </c>
      <c r="I158" t="n">
        <v>5.5</v>
      </c>
      <c r="J158" t="n">
        <v>0</v>
      </c>
      <c r="K158" t="n">
        <v>0</v>
      </c>
      <c r="L158" t="n">
        <v>0</v>
      </c>
      <c r="M158" t="n">
        <v>0</v>
      </c>
      <c r="N158" t="n">
        <v>0</v>
      </c>
      <c r="O158" t="n">
        <v>0</v>
      </c>
      <c r="P158" t="n">
        <v>0</v>
      </c>
      <c r="Q158" t="n">
        <v>0</v>
      </c>
      <c r="R158" t="n">
        <v>0</v>
      </c>
      <c r="S158" t="n">
        <v>0</v>
      </c>
      <c r="T158" t="n">
        <v>0</v>
      </c>
      <c r="U158" s="2" t="inlineStr"/>
    </row>
    <row r="159" ht="15" customHeight="1">
      <c r="A159" t="inlineStr">
        <is>
          <t>A 59730-2024</t>
        </is>
      </c>
      <c r="B159" t="inlineStr">
        <is>
          <t>avverkningsanmälan</t>
        </is>
      </c>
      <c r="C159" t="inlineStr">
        <is>
          <t>Föryngringsavverkning</t>
        </is>
      </c>
      <c r="D159" s="1" t="n">
        <v>45639</v>
      </c>
      <c r="E159" s="1" t="n">
        <v>46220</v>
      </c>
      <c r="F159" t="inlineStr">
        <is>
          <t>VÄSTERBOTTENS LÄN</t>
        </is>
      </c>
      <c r="G159" t="inlineStr">
        <is>
          <t>SORSELE</t>
        </is>
      </c>
      <c r="I159" t="n">
        <v>68.2</v>
      </c>
      <c r="J159" t="n">
        <v>0</v>
      </c>
      <c r="K159" t="n">
        <v>0</v>
      </c>
      <c r="L159" t="n">
        <v>0</v>
      </c>
      <c r="M159" t="n">
        <v>0</v>
      </c>
      <c r="N159" t="n">
        <v>0</v>
      </c>
      <c r="O159" t="n">
        <v>0</v>
      </c>
      <c r="P159" t="n">
        <v>0</v>
      </c>
      <c r="Q159" t="n">
        <v>0</v>
      </c>
      <c r="R159" t="n">
        <v>0</v>
      </c>
      <c r="S159" t="n">
        <v>0</v>
      </c>
      <c r="T159" t="n">
        <v>0</v>
      </c>
      <c r="U159" s="2" t="inlineStr"/>
    </row>
    <row r="160" ht="15" customHeight="1">
      <c r="A160" t="inlineStr">
        <is>
          <t>A 30153-2023</t>
        </is>
      </c>
      <c r="B160" t="inlineStr">
        <is>
          <t>avverkningsanmälan</t>
        </is>
      </c>
      <c r="C160" t="inlineStr">
        <is>
          <t>Avverkning för annat ändamål</t>
        </is>
      </c>
      <c r="D160" s="1" t="n">
        <v>45110</v>
      </c>
      <c r="E160" s="1" t="n">
        <v>46220</v>
      </c>
      <c r="F160" t="inlineStr">
        <is>
          <t>VÄSTERBOTTENS LÄN</t>
        </is>
      </c>
      <c r="G160" t="inlineStr">
        <is>
          <t>SORSELE</t>
        </is>
      </c>
      <c r="H160" t="inlineStr">
        <is>
          <t>Sveaskog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53347-2025</t>
        </is>
      </c>
      <c r="B161" t="inlineStr">
        <is>
          <t>avverkningsanmälan</t>
        </is>
      </c>
      <c r="C161" t="inlineStr">
        <is>
          <t>Föryngringsavverkning</t>
        </is>
      </c>
      <c r="D161" s="1" t="n">
        <v>45959</v>
      </c>
      <c r="E161" s="1" t="n">
        <v>46220</v>
      </c>
      <c r="F161" t="inlineStr">
        <is>
          <t>VÄSTERBOTTENS LÄN</t>
        </is>
      </c>
      <c r="G161" t="inlineStr">
        <is>
          <t>SORSELE</t>
        </is>
      </c>
      <c r="H161" t="inlineStr">
        <is>
          <t>Sveaskog</t>
        </is>
      </c>
      <c r="I161" t="n">
        <v>57.3</v>
      </c>
      <c r="J161" t="n">
        <v>0</v>
      </c>
      <c r="K161" t="n">
        <v>0</v>
      </c>
      <c r="L161" t="n">
        <v>0</v>
      </c>
      <c r="M161" t="n">
        <v>0</v>
      </c>
      <c r="N161" t="n">
        <v>0</v>
      </c>
      <c r="O161" t="n">
        <v>0</v>
      </c>
      <c r="P161" t="n">
        <v>0</v>
      </c>
      <c r="Q161" t="n">
        <v>0</v>
      </c>
      <c r="R161" t="n">
        <v>0</v>
      </c>
      <c r="S161" t="n">
        <v>0</v>
      </c>
      <c r="T161" t="n">
        <v>0</v>
      </c>
      <c r="U161" s="2" t="inlineStr"/>
    </row>
    <row r="162" ht="15" customHeight="1">
      <c r="A162" t="inlineStr">
        <is>
          <t>A 53348-2025</t>
        </is>
      </c>
      <c r="B162" t="inlineStr">
        <is>
          <t>avverkningsanmälan</t>
        </is>
      </c>
      <c r="C162" t="inlineStr">
        <is>
          <t>Föryngringsavverkning</t>
        </is>
      </c>
      <c r="D162" s="1" t="n">
        <v>45959</v>
      </c>
      <c r="E162" s="1" t="n">
        <v>46220</v>
      </c>
      <c r="F162" t="inlineStr">
        <is>
          <t>VÄSTERBOTTENS LÄN</t>
        </is>
      </c>
      <c r="G162" t="inlineStr">
        <is>
          <t>SORSELE</t>
        </is>
      </c>
      <c r="H162" t="inlineStr">
        <is>
          <t>Sveaskog</t>
        </is>
      </c>
      <c r="I162" t="n">
        <v>20.6</v>
      </c>
      <c r="J162" t="n">
        <v>0</v>
      </c>
      <c r="K162" t="n">
        <v>0</v>
      </c>
      <c r="L162" t="n">
        <v>0</v>
      </c>
      <c r="M162" t="n">
        <v>0</v>
      </c>
      <c r="N162" t="n">
        <v>0</v>
      </c>
      <c r="O162" t="n">
        <v>0</v>
      </c>
      <c r="P162" t="n">
        <v>0</v>
      </c>
      <c r="Q162" t="n">
        <v>0</v>
      </c>
      <c r="R162" t="n">
        <v>0</v>
      </c>
      <c r="S162" t="n">
        <v>0</v>
      </c>
      <c r="T162" t="n">
        <v>0</v>
      </c>
      <c r="U162" s="2" t="inlineStr"/>
    </row>
    <row r="163" ht="15" customHeight="1">
      <c r="A163" t="inlineStr">
        <is>
          <t>A 53857-2025</t>
        </is>
      </c>
      <c r="B163" t="inlineStr">
        <is>
          <t>avverkningsanmälan</t>
        </is>
      </c>
      <c r="C163" t="inlineStr">
        <is>
          <t>Föryngringsavverkning</t>
        </is>
      </c>
      <c r="D163" s="1" t="n">
        <v>45961</v>
      </c>
      <c r="E163" s="1" t="n">
        <v>46220</v>
      </c>
      <c r="F163" t="inlineStr">
        <is>
          <t>VÄSTERBOTTENS LÄN</t>
        </is>
      </c>
      <c r="G163" t="inlineStr">
        <is>
          <t>SORSELE</t>
        </is>
      </c>
      <c r="I163" t="n">
        <v>5.1</v>
      </c>
      <c r="J163" t="n">
        <v>0</v>
      </c>
      <c r="K163" t="n">
        <v>0</v>
      </c>
      <c r="L163" t="n">
        <v>0</v>
      </c>
      <c r="M163" t="n">
        <v>0</v>
      </c>
      <c r="N163" t="n">
        <v>0</v>
      </c>
      <c r="O163" t="n">
        <v>0</v>
      </c>
      <c r="P163" t="n">
        <v>0</v>
      </c>
      <c r="Q163" t="n">
        <v>0</v>
      </c>
      <c r="R163" t="n">
        <v>0</v>
      </c>
      <c r="S163" t="n">
        <v>0</v>
      </c>
      <c r="T163" t="n">
        <v>0</v>
      </c>
      <c r="U163" s="2" t="inlineStr"/>
    </row>
    <row r="164" ht="15" customHeight="1">
      <c r="A164" t="inlineStr">
        <is>
          <t>A 54733-2025</t>
        </is>
      </c>
      <c r="B164" t="inlineStr">
        <is>
          <t>avverkningsanmälan</t>
        </is>
      </c>
      <c r="C164" t="inlineStr">
        <is>
          <t>Föryngringsavverkning</t>
        </is>
      </c>
      <c r="D164" s="1" t="n">
        <v>45966</v>
      </c>
      <c r="E164" s="1" t="n">
        <v>46220</v>
      </c>
      <c r="F164" t="inlineStr">
        <is>
          <t>VÄSTERBOTTENS LÄN</t>
        </is>
      </c>
      <c r="G164" t="inlineStr">
        <is>
          <t>SORSELE</t>
        </is>
      </c>
      <c r="H164" t="inlineStr">
        <is>
          <t>Sveaskog</t>
        </is>
      </c>
      <c r="I164" t="n">
        <v>17.4</v>
      </c>
      <c r="J164" t="n">
        <v>0</v>
      </c>
      <c r="K164" t="n">
        <v>0</v>
      </c>
      <c r="L164" t="n">
        <v>0</v>
      </c>
      <c r="M164" t="n">
        <v>0</v>
      </c>
      <c r="N164" t="n">
        <v>0</v>
      </c>
      <c r="O164" t="n">
        <v>0</v>
      </c>
      <c r="P164" t="n">
        <v>0</v>
      </c>
      <c r="Q164" t="n">
        <v>0</v>
      </c>
      <c r="R164" t="n">
        <v>0</v>
      </c>
      <c r="S164" t="n">
        <v>0</v>
      </c>
      <c r="T164" t="n">
        <v>0</v>
      </c>
      <c r="U164" s="2" t="inlineStr"/>
    </row>
    <row r="165" ht="15" customHeight="1">
      <c r="A165" t="inlineStr">
        <is>
          <t>A 54739-2025</t>
        </is>
      </c>
      <c r="B165" t="inlineStr">
        <is>
          <t>avverkningsanmälan</t>
        </is>
      </c>
      <c r="C165" t="inlineStr">
        <is>
          <t>Föryngringsavverkning</t>
        </is>
      </c>
      <c r="D165" s="1" t="n">
        <v>45966</v>
      </c>
      <c r="E165" s="1" t="n">
        <v>46220</v>
      </c>
      <c r="F165" t="inlineStr">
        <is>
          <t>VÄSTERBOTTENS LÄN</t>
        </is>
      </c>
      <c r="G165" t="inlineStr">
        <is>
          <t>SORSELE</t>
        </is>
      </c>
      <c r="H165" t="inlineStr">
        <is>
          <t>Sveaskog</t>
        </is>
      </c>
      <c r="I165" t="n">
        <v>21.1</v>
      </c>
      <c r="J165" t="n">
        <v>0</v>
      </c>
      <c r="K165" t="n">
        <v>0</v>
      </c>
      <c r="L165" t="n">
        <v>0</v>
      </c>
      <c r="M165" t="n">
        <v>0</v>
      </c>
      <c r="N165" t="n">
        <v>0</v>
      </c>
      <c r="O165" t="n">
        <v>0</v>
      </c>
      <c r="P165" t="n">
        <v>0</v>
      </c>
      <c r="Q165" t="n">
        <v>0</v>
      </c>
      <c r="R165" t="n">
        <v>0</v>
      </c>
      <c r="S165" t="n">
        <v>0</v>
      </c>
      <c r="T165" t="n">
        <v>0</v>
      </c>
      <c r="U165" s="2" t="inlineStr"/>
    </row>
    <row r="166" ht="15" customHeight="1">
      <c r="A166" t="inlineStr">
        <is>
          <t>A 72894-2021</t>
        </is>
      </c>
      <c r="B166" t="inlineStr">
        <is>
          <t>avverkningsanmälan</t>
        </is>
      </c>
      <c r="C166" t="inlineStr">
        <is>
          <t>Föryngringsavverkning</t>
        </is>
      </c>
      <c r="D166" s="1" t="n">
        <v>44546</v>
      </c>
      <c r="E166" s="1" t="n">
        <v>46220</v>
      </c>
      <c r="F166" t="inlineStr">
        <is>
          <t>VÄSTERBOTTENS LÄN</t>
        </is>
      </c>
      <c r="G166" t="inlineStr">
        <is>
          <t>SORSELE</t>
        </is>
      </c>
      <c r="I166" t="n">
        <v>2.6</v>
      </c>
      <c r="J166" t="n">
        <v>0</v>
      </c>
      <c r="K166" t="n">
        <v>0</v>
      </c>
      <c r="L166" t="n">
        <v>0</v>
      </c>
      <c r="M166" t="n">
        <v>0</v>
      </c>
      <c r="N166" t="n">
        <v>0</v>
      </c>
      <c r="O166" t="n">
        <v>0</v>
      </c>
      <c r="P166" t="n">
        <v>0</v>
      </c>
      <c r="Q166" t="n">
        <v>0</v>
      </c>
      <c r="R166" t="n">
        <v>0</v>
      </c>
      <c r="S166" t="n">
        <v>0</v>
      </c>
      <c r="T166" t="n">
        <v>0</v>
      </c>
      <c r="U166" s="2" t="inlineStr"/>
    </row>
    <row r="167" ht="15" customHeight="1">
      <c r="A167" t="inlineStr">
        <is>
          <t>A 26056-2023</t>
        </is>
      </c>
      <c r="B167" t="inlineStr">
        <is>
          <t>avverkningsanmälan</t>
        </is>
      </c>
      <c r="C167" t="inlineStr">
        <is>
          <t>Avverkning för annat ändamål</t>
        </is>
      </c>
      <c r="D167" s="1" t="n">
        <v>45086</v>
      </c>
      <c r="E167" s="1" t="n">
        <v>46220</v>
      </c>
      <c r="F167" t="inlineStr">
        <is>
          <t>VÄSTERBOTTENS LÄN</t>
        </is>
      </c>
      <c r="G167" t="inlineStr">
        <is>
          <t>SORSELE</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55418-2022</t>
        </is>
      </c>
      <c r="B168" t="inlineStr">
        <is>
          <t>avverkningsanmälan</t>
        </is>
      </c>
      <c r="C168" t="inlineStr">
        <is>
          <t>Avverkning för annat ändamål</t>
        </is>
      </c>
      <c r="D168" s="1" t="n">
        <v>44882</v>
      </c>
      <c r="E168" s="1" t="n">
        <v>46220</v>
      </c>
      <c r="F168" t="inlineStr">
        <is>
          <t>VÄSTERBOTTENS LÄN</t>
        </is>
      </c>
      <c r="G168" t="inlineStr">
        <is>
          <t>SORSELE</t>
        </is>
      </c>
      <c r="H168" t="inlineStr">
        <is>
          <t>SCA</t>
        </is>
      </c>
      <c r="I168" t="n">
        <v>2.1</v>
      </c>
      <c r="J168" t="n">
        <v>0</v>
      </c>
      <c r="K168" t="n">
        <v>0</v>
      </c>
      <c r="L168" t="n">
        <v>0</v>
      </c>
      <c r="M168" t="n">
        <v>0</v>
      </c>
      <c r="N168" t="n">
        <v>0</v>
      </c>
      <c r="O168" t="n">
        <v>0</v>
      </c>
      <c r="P168" t="n">
        <v>0</v>
      </c>
      <c r="Q168" t="n">
        <v>0</v>
      </c>
      <c r="R168" t="n">
        <v>0</v>
      </c>
      <c r="S168" t="n">
        <v>0</v>
      </c>
      <c r="T168" t="n">
        <v>0</v>
      </c>
      <c r="U168" s="2" t="inlineStr"/>
    </row>
    <row r="169" ht="15" customHeight="1">
      <c r="A169" t="inlineStr">
        <is>
          <t>A 54376-2022</t>
        </is>
      </c>
      <c r="B169" t="inlineStr">
        <is>
          <t>avverkningsanmälan</t>
        </is>
      </c>
      <c r="C169" t="inlineStr">
        <is>
          <t>Föryngringsavverkning</t>
        </is>
      </c>
      <c r="D169" s="1" t="n">
        <v>44879</v>
      </c>
      <c r="E169" s="1" t="n">
        <v>46220</v>
      </c>
      <c r="F169" t="inlineStr">
        <is>
          <t>VÄSTERBOTTENS LÄN</t>
        </is>
      </c>
      <c r="G169" t="inlineStr">
        <is>
          <t>SORSELE</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30415-2024</t>
        </is>
      </c>
      <c r="B170" t="inlineStr">
        <is>
          <t>avverkningsanmälan</t>
        </is>
      </c>
      <c r="C170" t="inlineStr">
        <is>
          <t>Föryngringsavverkning</t>
        </is>
      </c>
      <c r="D170" s="1" t="n">
        <v>45491</v>
      </c>
      <c r="E170" s="1" t="n">
        <v>46220</v>
      </c>
      <c r="F170" t="inlineStr">
        <is>
          <t>VÄSTERBOTTENS LÄN</t>
        </is>
      </c>
      <c r="G170" t="inlineStr">
        <is>
          <t>SORSELE</t>
        </is>
      </c>
      <c r="H170" t="inlineStr">
        <is>
          <t>Sveaskog</t>
        </is>
      </c>
      <c r="I170" t="n">
        <v>3.5</v>
      </c>
      <c r="J170" t="n">
        <v>0</v>
      </c>
      <c r="K170" t="n">
        <v>0</v>
      </c>
      <c r="L170" t="n">
        <v>0</v>
      </c>
      <c r="M170" t="n">
        <v>0</v>
      </c>
      <c r="N170" t="n">
        <v>0</v>
      </c>
      <c r="O170" t="n">
        <v>0</v>
      </c>
      <c r="P170" t="n">
        <v>0</v>
      </c>
      <c r="Q170" t="n">
        <v>0</v>
      </c>
      <c r="R170" t="n">
        <v>0</v>
      </c>
      <c r="S170" t="n">
        <v>0</v>
      </c>
      <c r="T170" t="n">
        <v>0</v>
      </c>
      <c r="U170" s="2" t="inlineStr"/>
    </row>
    <row r="171" ht="15" customHeight="1">
      <c r="A171" t="inlineStr">
        <is>
          <t>A 57182-2025</t>
        </is>
      </c>
      <c r="B171" t="inlineStr">
        <is>
          <t>avverkningsanmälan</t>
        </is>
      </c>
      <c r="C171" t="inlineStr">
        <is>
          <t>Föryngringsavverkning</t>
        </is>
      </c>
      <c r="D171" s="1" t="n">
        <v>45979</v>
      </c>
      <c r="E171" s="1" t="n">
        <v>46220</v>
      </c>
      <c r="F171" t="inlineStr">
        <is>
          <t>VÄSTERBOTTENS LÄN</t>
        </is>
      </c>
      <c r="G171" t="inlineStr">
        <is>
          <t>SORSELE</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57204-2025</t>
        </is>
      </c>
      <c r="B172" t="inlineStr">
        <is>
          <t>avverkningsanmälan</t>
        </is>
      </c>
      <c r="C172" t="inlineStr">
        <is>
          <t>Avverkning för annat ändamål</t>
        </is>
      </c>
      <c r="D172" s="1" t="n">
        <v>45979</v>
      </c>
      <c r="E172" s="1" t="n">
        <v>46220</v>
      </c>
      <c r="F172" t="inlineStr">
        <is>
          <t>VÄSTERBOTTENS LÄN</t>
        </is>
      </c>
      <c r="G172" t="inlineStr">
        <is>
          <t>SORSELE</t>
        </is>
      </c>
      <c r="I172" t="n">
        <v>3.3</v>
      </c>
      <c r="J172" t="n">
        <v>0</v>
      </c>
      <c r="K172" t="n">
        <v>0</v>
      </c>
      <c r="L172" t="n">
        <v>0</v>
      </c>
      <c r="M172" t="n">
        <v>0</v>
      </c>
      <c r="N172" t="n">
        <v>0</v>
      </c>
      <c r="O172" t="n">
        <v>0</v>
      </c>
      <c r="P172" t="n">
        <v>0</v>
      </c>
      <c r="Q172" t="n">
        <v>0</v>
      </c>
      <c r="R172" t="n">
        <v>0</v>
      </c>
      <c r="S172" t="n">
        <v>0</v>
      </c>
      <c r="T172" t="n">
        <v>0</v>
      </c>
      <c r="U172" s="2" t="inlineStr"/>
    </row>
    <row r="173" ht="15" customHeight="1">
      <c r="A173" t="inlineStr">
        <is>
          <t>A 57589-2025</t>
        </is>
      </c>
      <c r="B173" t="inlineStr">
        <is>
          <t>avverkningsanmälan</t>
        </is>
      </c>
      <c r="C173" t="inlineStr">
        <is>
          <t>Föryngringsavverkning</t>
        </is>
      </c>
      <c r="D173" s="1" t="n">
        <v>45980</v>
      </c>
      <c r="E173" s="1" t="n">
        <v>46220</v>
      </c>
      <c r="F173" t="inlineStr">
        <is>
          <t>VÄSTERBOTTENS LÄN</t>
        </is>
      </c>
      <c r="G173" t="inlineStr">
        <is>
          <t>SORSELE</t>
        </is>
      </c>
      <c r="I173" t="n">
        <v>8</v>
      </c>
      <c r="J173" t="n">
        <v>0</v>
      </c>
      <c r="K173" t="n">
        <v>0</v>
      </c>
      <c r="L173" t="n">
        <v>0</v>
      </c>
      <c r="M173" t="n">
        <v>0</v>
      </c>
      <c r="N173" t="n">
        <v>0</v>
      </c>
      <c r="O173" t="n">
        <v>0</v>
      </c>
      <c r="P173" t="n">
        <v>0</v>
      </c>
      <c r="Q173" t="n">
        <v>0</v>
      </c>
      <c r="R173" t="n">
        <v>0</v>
      </c>
      <c r="S173" t="n">
        <v>0</v>
      </c>
      <c r="T173" t="n">
        <v>0</v>
      </c>
      <c r="U173" s="2" t="inlineStr"/>
    </row>
    <row r="174" ht="15" customHeight="1">
      <c r="A174" t="inlineStr">
        <is>
          <t>A 57590-2025</t>
        </is>
      </c>
      <c r="B174" t="inlineStr">
        <is>
          <t>avverkningsanmälan</t>
        </is>
      </c>
      <c r="C174" t="inlineStr">
        <is>
          <t>Föryngringsavverkning</t>
        </is>
      </c>
      <c r="D174" s="1" t="n">
        <v>45980</v>
      </c>
      <c r="E174" s="1" t="n">
        <v>46220</v>
      </c>
      <c r="F174" t="inlineStr">
        <is>
          <t>VÄSTERBOTTENS LÄN</t>
        </is>
      </c>
      <c r="G174" t="inlineStr">
        <is>
          <t>SORSELE</t>
        </is>
      </c>
      <c r="I174" t="n">
        <v>7</v>
      </c>
      <c r="J174" t="n">
        <v>0</v>
      </c>
      <c r="K174" t="n">
        <v>0</v>
      </c>
      <c r="L174" t="n">
        <v>0</v>
      </c>
      <c r="M174" t="n">
        <v>0</v>
      </c>
      <c r="N174" t="n">
        <v>0</v>
      </c>
      <c r="O174" t="n">
        <v>0</v>
      </c>
      <c r="P174" t="n">
        <v>0</v>
      </c>
      <c r="Q174" t="n">
        <v>0</v>
      </c>
      <c r="R174" t="n">
        <v>0</v>
      </c>
      <c r="S174" t="n">
        <v>0</v>
      </c>
      <c r="T174" t="n">
        <v>0</v>
      </c>
      <c r="U174" s="2" t="inlineStr"/>
    </row>
    <row r="175" ht="15" customHeight="1">
      <c r="A175" t="inlineStr">
        <is>
          <t>A 57534-2025</t>
        </is>
      </c>
      <c r="B175" t="inlineStr">
        <is>
          <t>avverkningsanmälan</t>
        </is>
      </c>
      <c r="C175" t="inlineStr">
        <is>
          <t>Föryngringsavverkning</t>
        </is>
      </c>
      <c r="D175" s="1" t="n">
        <v>45980</v>
      </c>
      <c r="E175" s="1" t="n">
        <v>46220</v>
      </c>
      <c r="F175" t="inlineStr">
        <is>
          <t>VÄSTERBOTTENS LÄN</t>
        </is>
      </c>
      <c r="G175" t="inlineStr">
        <is>
          <t>SORSELE</t>
        </is>
      </c>
      <c r="I175" t="n">
        <v>10.3</v>
      </c>
      <c r="J175" t="n">
        <v>0</v>
      </c>
      <c r="K175" t="n">
        <v>0</v>
      </c>
      <c r="L175" t="n">
        <v>0</v>
      </c>
      <c r="M175" t="n">
        <v>0</v>
      </c>
      <c r="N175" t="n">
        <v>0</v>
      </c>
      <c r="O175" t="n">
        <v>0</v>
      </c>
      <c r="P175" t="n">
        <v>0</v>
      </c>
      <c r="Q175" t="n">
        <v>0</v>
      </c>
      <c r="R175" t="n">
        <v>0</v>
      </c>
      <c r="S175" t="n">
        <v>0</v>
      </c>
      <c r="T175" t="n">
        <v>0</v>
      </c>
      <c r="U175" s="2" t="inlineStr"/>
    </row>
    <row r="176" ht="15" customHeight="1">
      <c r="A176" t="inlineStr">
        <is>
          <t>A 57542-2025</t>
        </is>
      </c>
      <c r="B176" t="inlineStr">
        <is>
          <t>avverkningsanmälan</t>
        </is>
      </c>
      <c r="C176" t="inlineStr">
        <is>
          <t>Föryngringsavverkning</t>
        </is>
      </c>
      <c r="D176" s="1" t="n">
        <v>45980</v>
      </c>
      <c r="E176" s="1" t="n">
        <v>46220</v>
      </c>
      <c r="F176" t="inlineStr">
        <is>
          <t>VÄSTERBOTTENS LÄN</t>
        </is>
      </c>
      <c r="G176" t="inlineStr">
        <is>
          <t>SORSELE</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57591-2025</t>
        </is>
      </c>
      <c r="B177" t="inlineStr">
        <is>
          <t>avverkningsanmälan</t>
        </is>
      </c>
      <c r="C177" t="inlineStr">
        <is>
          <t>Föryngringsavverkning</t>
        </is>
      </c>
      <c r="D177" s="1" t="n">
        <v>45980</v>
      </c>
      <c r="E177" s="1" t="n">
        <v>46220</v>
      </c>
      <c r="F177" t="inlineStr">
        <is>
          <t>VÄSTERBOTTENS LÄN</t>
        </is>
      </c>
      <c r="G177" t="inlineStr">
        <is>
          <t>SORSELE</t>
        </is>
      </c>
      <c r="I177" t="n">
        <v>12.4</v>
      </c>
      <c r="J177" t="n">
        <v>0</v>
      </c>
      <c r="K177" t="n">
        <v>0</v>
      </c>
      <c r="L177" t="n">
        <v>0</v>
      </c>
      <c r="M177" t="n">
        <v>0</v>
      </c>
      <c r="N177" t="n">
        <v>0</v>
      </c>
      <c r="O177" t="n">
        <v>0</v>
      </c>
      <c r="P177" t="n">
        <v>0</v>
      </c>
      <c r="Q177" t="n">
        <v>0</v>
      </c>
      <c r="R177" t="n">
        <v>0</v>
      </c>
      <c r="S177" t="n">
        <v>0</v>
      </c>
      <c r="T177" t="n">
        <v>0</v>
      </c>
      <c r="U177" s="2" t="inlineStr"/>
    </row>
    <row r="178" ht="15" customHeight="1">
      <c r="A178" t="inlineStr">
        <is>
          <t>A 58146-2025</t>
        </is>
      </c>
      <c r="B178" t="inlineStr">
        <is>
          <t>avverkningsanmälan</t>
        </is>
      </c>
      <c r="C178" t="inlineStr">
        <is>
          <t>Föryngringsavverkning</t>
        </is>
      </c>
      <c r="D178" s="1" t="n">
        <v>45982</v>
      </c>
      <c r="E178" s="1" t="n">
        <v>46220</v>
      </c>
      <c r="F178" t="inlineStr">
        <is>
          <t>VÄSTERBOTTENS LÄN</t>
        </is>
      </c>
      <c r="G178" t="inlineStr">
        <is>
          <t>SORSELE</t>
        </is>
      </c>
      <c r="H178" t="inlineStr">
        <is>
          <t>Övriga statliga verk och myndigheter</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61030-2022</t>
        </is>
      </c>
      <c r="B179" t="inlineStr">
        <is>
          <t>avverkningsanmälan</t>
        </is>
      </c>
      <c r="C179" t="inlineStr">
        <is>
          <t>Föryngringsavverkning</t>
        </is>
      </c>
      <c r="D179" s="1" t="n">
        <v>44914</v>
      </c>
      <c r="E179" s="1" t="n">
        <v>46220</v>
      </c>
      <c r="F179" t="inlineStr">
        <is>
          <t>VÄSTERBOTTENS LÄN</t>
        </is>
      </c>
      <c r="G179" t="inlineStr">
        <is>
          <t>SORSELE</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58036-2025</t>
        </is>
      </c>
      <c r="B180" t="inlineStr">
        <is>
          <t>avverkningsanmälan</t>
        </is>
      </c>
      <c r="C180" t="inlineStr">
        <is>
          <t>Föryngringsavverkning</t>
        </is>
      </c>
      <c r="D180" s="1" t="n">
        <v>45982</v>
      </c>
      <c r="E180" s="1" t="n">
        <v>46220</v>
      </c>
      <c r="F180" t="inlineStr">
        <is>
          <t>VÄSTERBOTTENS LÄN</t>
        </is>
      </c>
      <c r="G180" t="inlineStr">
        <is>
          <t>SORSELE</t>
        </is>
      </c>
      <c r="I180" t="n">
        <v>5.9</v>
      </c>
      <c r="J180" t="n">
        <v>0</v>
      </c>
      <c r="K180" t="n">
        <v>0</v>
      </c>
      <c r="L180" t="n">
        <v>0</v>
      </c>
      <c r="M180" t="n">
        <v>0</v>
      </c>
      <c r="N180" t="n">
        <v>0</v>
      </c>
      <c r="O180" t="n">
        <v>0</v>
      </c>
      <c r="P180" t="n">
        <v>0</v>
      </c>
      <c r="Q180" t="n">
        <v>0</v>
      </c>
      <c r="R180" t="n">
        <v>0</v>
      </c>
      <c r="S180" t="n">
        <v>0</v>
      </c>
      <c r="T180" t="n">
        <v>0</v>
      </c>
      <c r="U180" s="2" t="inlineStr"/>
    </row>
    <row r="181" ht="15" customHeight="1">
      <c r="A181" t="inlineStr">
        <is>
          <t>A 28959-2023</t>
        </is>
      </c>
      <c r="B181" t="inlineStr">
        <is>
          <t>avverkningsanmälan</t>
        </is>
      </c>
      <c r="C181" t="inlineStr">
        <is>
          <t>Avverkning för annat ändamål</t>
        </is>
      </c>
      <c r="D181" s="1" t="n">
        <v>45104</v>
      </c>
      <c r="E181" s="1" t="n">
        <v>46220</v>
      </c>
      <c r="F181" t="inlineStr">
        <is>
          <t>VÄSTERBOTTENS LÄN</t>
        </is>
      </c>
      <c r="G181" t="inlineStr">
        <is>
          <t>SORSELE</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58143-2025</t>
        </is>
      </c>
      <c r="B182" t="inlineStr">
        <is>
          <t>avverkningsanmälan</t>
        </is>
      </c>
      <c r="C182" t="inlineStr">
        <is>
          <t>Föryngringsavverkning</t>
        </is>
      </c>
      <c r="D182" s="1" t="n">
        <v>45982</v>
      </c>
      <c r="E182" s="1" t="n">
        <v>46220</v>
      </c>
      <c r="F182" t="inlineStr">
        <is>
          <t>VÄSTERBOTTENS LÄN</t>
        </is>
      </c>
      <c r="G182" t="inlineStr">
        <is>
          <t>SORSELE</t>
        </is>
      </c>
      <c r="H182" t="inlineStr">
        <is>
          <t>Övriga statliga verk och myndigheter</t>
        </is>
      </c>
      <c r="I182" t="n">
        <v>13.4</v>
      </c>
      <c r="J182" t="n">
        <v>0</v>
      </c>
      <c r="K182" t="n">
        <v>0</v>
      </c>
      <c r="L182" t="n">
        <v>0</v>
      </c>
      <c r="M182" t="n">
        <v>0</v>
      </c>
      <c r="N182" t="n">
        <v>0</v>
      </c>
      <c r="O182" t="n">
        <v>0</v>
      </c>
      <c r="P182" t="n">
        <v>0</v>
      </c>
      <c r="Q182" t="n">
        <v>0</v>
      </c>
      <c r="R182" t="n">
        <v>0</v>
      </c>
      <c r="S182" t="n">
        <v>0</v>
      </c>
      <c r="T182" t="n">
        <v>0</v>
      </c>
      <c r="U182" s="2" t="inlineStr"/>
    </row>
    <row r="183" ht="15" customHeight="1">
      <c r="A183" t="inlineStr">
        <is>
          <t>A 58145-2025</t>
        </is>
      </c>
      <c r="B183" t="inlineStr">
        <is>
          <t>avverkningsanmälan</t>
        </is>
      </c>
      <c r="C183" t="inlineStr">
        <is>
          <t>Föryngringsavverkning</t>
        </is>
      </c>
      <c r="D183" s="1" t="n">
        <v>45982</v>
      </c>
      <c r="E183" s="1" t="n">
        <v>46220</v>
      </c>
      <c r="F183" t="inlineStr">
        <is>
          <t>VÄSTERBOTTENS LÄN</t>
        </is>
      </c>
      <c r="G183" t="inlineStr">
        <is>
          <t>SORSELE</t>
        </is>
      </c>
      <c r="H183" t="inlineStr">
        <is>
          <t>Övriga statliga verk och myndigheter</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58149-2025</t>
        </is>
      </c>
      <c r="B184" t="inlineStr">
        <is>
          <t>avverkningsanmälan</t>
        </is>
      </c>
      <c r="C184" t="inlineStr">
        <is>
          <t>Föryngringsavverkning</t>
        </is>
      </c>
      <c r="D184" s="1" t="n">
        <v>45982</v>
      </c>
      <c r="E184" s="1" t="n">
        <v>46220</v>
      </c>
      <c r="F184" t="inlineStr">
        <is>
          <t>VÄSTERBOTTENS LÄN</t>
        </is>
      </c>
      <c r="G184" t="inlineStr">
        <is>
          <t>SORSELE</t>
        </is>
      </c>
      <c r="H184" t="inlineStr">
        <is>
          <t>Övriga statliga verk och myndigheter</t>
        </is>
      </c>
      <c r="I184" t="n">
        <v>7.6</v>
      </c>
      <c r="J184" t="n">
        <v>0</v>
      </c>
      <c r="K184" t="n">
        <v>0</v>
      </c>
      <c r="L184" t="n">
        <v>0</v>
      </c>
      <c r="M184" t="n">
        <v>0</v>
      </c>
      <c r="N184" t="n">
        <v>0</v>
      </c>
      <c r="O184" t="n">
        <v>0</v>
      </c>
      <c r="P184" t="n">
        <v>0</v>
      </c>
      <c r="Q184" t="n">
        <v>0</v>
      </c>
      <c r="R184" t="n">
        <v>0</v>
      </c>
      <c r="S184" t="n">
        <v>0</v>
      </c>
      <c r="T184" t="n">
        <v>0</v>
      </c>
      <c r="U184" s="2" t="inlineStr"/>
    </row>
    <row r="185" ht="15" customHeight="1">
      <c r="A185" t="inlineStr">
        <is>
          <t>A 57923-2025</t>
        </is>
      </c>
      <c r="B185" t="inlineStr">
        <is>
          <t>avverkningsanmälan</t>
        </is>
      </c>
      <c r="C185" t="inlineStr">
        <is>
          <t>Föryngringsavverkning</t>
        </is>
      </c>
      <c r="D185" s="1" t="n">
        <v>45981</v>
      </c>
      <c r="E185" s="1" t="n">
        <v>46220</v>
      </c>
      <c r="F185" t="inlineStr">
        <is>
          <t>VÄSTERBOTTENS LÄN</t>
        </is>
      </c>
      <c r="G185" t="inlineStr">
        <is>
          <t>SORSELE</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58635-2025</t>
        </is>
      </c>
      <c r="B186" t="inlineStr">
        <is>
          <t>avverkningsanmälan</t>
        </is>
      </c>
      <c r="C186" t="inlineStr">
        <is>
          <t>Föryngringsavverkning</t>
        </is>
      </c>
      <c r="D186" s="1" t="n">
        <v>45986</v>
      </c>
      <c r="E186" s="1" t="n">
        <v>46220</v>
      </c>
      <c r="F186" t="inlineStr">
        <is>
          <t>VÄSTERBOTTENS LÄN</t>
        </is>
      </c>
      <c r="G186" t="inlineStr">
        <is>
          <t>SORSELE</t>
        </is>
      </c>
      <c r="I186" t="n">
        <v>26.4</v>
      </c>
      <c r="J186" t="n">
        <v>0</v>
      </c>
      <c r="K186" t="n">
        <v>0</v>
      </c>
      <c r="L186" t="n">
        <v>0</v>
      </c>
      <c r="M186" t="n">
        <v>0</v>
      </c>
      <c r="N186" t="n">
        <v>0</v>
      </c>
      <c r="O186" t="n">
        <v>0</v>
      </c>
      <c r="P186" t="n">
        <v>0</v>
      </c>
      <c r="Q186" t="n">
        <v>0</v>
      </c>
      <c r="R186" t="n">
        <v>0</v>
      </c>
      <c r="S186" t="n">
        <v>0</v>
      </c>
      <c r="T186" t="n">
        <v>0</v>
      </c>
      <c r="U186" s="2" t="inlineStr"/>
    </row>
    <row r="187" ht="15" customHeight="1">
      <c r="A187" t="inlineStr">
        <is>
          <t>A 58642-2025</t>
        </is>
      </c>
      <c r="B187" t="inlineStr">
        <is>
          <t>avverkningsanmälan</t>
        </is>
      </c>
      <c r="C187" t="inlineStr">
        <is>
          <t>Föryngringsavverkning</t>
        </is>
      </c>
      <c r="D187" s="1" t="n">
        <v>45986</v>
      </c>
      <c r="E187" s="1" t="n">
        <v>46220</v>
      </c>
      <c r="F187" t="inlineStr">
        <is>
          <t>VÄSTERBOTTENS LÄN</t>
        </is>
      </c>
      <c r="G187" t="inlineStr">
        <is>
          <t>SORSELE</t>
        </is>
      </c>
      <c r="I187" t="n">
        <v>12.3</v>
      </c>
      <c r="J187" t="n">
        <v>0</v>
      </c>
      <c r="K187" t="n">
        <v>0</v>
      </c>
      <c r="L187" t="n">
        <v>0</v>
      </c>
      <c r="M187" t="n">
        <v>0</v>
      </c>
      <c r="N187" t="n">
        <v>0</v>
      </c>
      <c r="O187" t="n">
        <v>0</v>
      </c>
      <c r="P187" t="n">
        <v>0</v>
      </c>
      <c r="Q187" t="n">
        <v>0</v>
      </c>
      <c r="R187" t="n">
        <v>0</v>
      </c>
      <c r="S187" t="n">
        <v>0</v>
      </c>
      <c r="T187" t="n">
        <v>0</v>
      </c>
      <c r="U187" s="2" t="inlineStr"/>
    </row>
    <row r="188" ht="15" customHeight="1">
      <c r="A188" t="inlineStr">
        <is>
          <t>A 7792-2026</t>
        </is>
      </c>
      <c r="B188" t="inlineStr">
        <is>
          <t>avverkningsanmälan</t>
        </is>
      </c>
      <c r="C188" t="inlineStr">
        <is>
          <t>Föryngringsavverkning</t>
        </is>
      </c>
      <c r="D188" s="1" t="n">
        <v>46062</v>
      </c>
      <c r="E188" s="1" t="n">
        <v>46220</v>
      </c>
      <c r="F188" t="inlineStr">
        <is>
          <t>VÄSTERBOTTENS LÄN</t>
        </is>
      </c>
      <c r="G188" t="inlineStr">
        <is>
          <t>SORSELE</t>
        </is>
      </c>
      <c r="H188" t="inlineStr">
        <is>
          <t>SCA</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29789-2025</t>
        </is>
      </c>
      <c r="B189" t="inlineStr">
        <is>
          <t>avverkningsanmälan</t>
        </is>
      </c>
      <c r="C189" t="inlineStr">
        <is>
          <t>Föryngringsavverkning</t>
        </is>
      </c>
      <c r="D189" s="1" t="n">
        <v>45825</v>
      </c>
      <c r="E189" s="1" t="n">
        <v>46220</v>
      </c>
      <c r="F189" t="inlineStr">
        <is>
          <t>VÄSTERBOTTENS LÄN</t>
        </is>
      </c>
      <c r="G189" t="inlineStr">
        <is>
          <t>SORSELE</t>
        </is>
      </c>
      <c r="H189" t="inlineStr">
        <is>
          <t>Allmännings- och besparingsskogar</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58548-2025</t>
        </is>
      </c>
      <c r="B190" t="inlineStr">
        <is>
          <t>avverkningsanmälan</t>
        </is>
      </c>
      <c r="C190" t="inlineStr">
        <is>
          <t>Avverkning för annat ändamål</t>
        </is>
      </c>
      <c r="D190" s="1" t="n">
        <v>45986</v>
      </c>
      <c r="E190" s="1" t="n">
        <v>46220</v>
      </c>
      <c r="F190" t="inlineStr">
        <is>
          <t>VÄSTERBOTTENS LÄN</t>
        </is>
      </c>
      <c r="G190" t="inlineStr">
        <is>
          <t>SORSELE</t>
        </is>
      </c>
      <c r="H190" t="inlineStr">
        <is>
          <t>Sveaskog</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58671-2024</t>
        </is>
      </c>
      <c r="B191" t="inlineStr">
        <is>
          <t>avverkningsanmälan</t>
        </is>
      </c>
      <c r="C191" t="inlineStr">
        <is>
          <t>Föryngringsavverkning</t>
        </is>
      </c>
      <c r="D191" s="1" t="n">
        <v>45635</v>
      </c>
      <c r="E191" s="1" t="n">
        <v>46220</v>
      </c>
      <c r="F191" t="inlineStr">
        <is>
          <t>VÄSTERBOTTENS LÄN</t>
        </is>
      </c>
      <c r="G191" t="inlineStr">
        <is>
          <t>SORSELE</t>
        </is>
      </c>
      <c r="I191" t="n">
        <v>6.3</v>
      </c>
      <c r="J191" t="n">
        <v>0</v>
      </c>
      <c r="K191" t="n">
        <v>0</v>
      </c>
      <c r="L191" t="n">
        <v>0</v>
      </c>
      <c r="M191" t="n">
        <v>0</v>
      </c>
      <c r="N191" t="n">
        <v>0</v>
      </c>
      <c r="O191" t="n">
        <v>0</v>
      </c>
      <c r="P191" t="n">
        <v>0</v>
      </c>
      <c r="Q191" t="n">
        <v>0</v>
      </c>
      <c r="R191" t="n">
        <v>0</v>
      </c>
      <c r="S191" t="n">
        <v>0</v>
      </c>
      <c r="T191" t="n">
        <v>0</v>
      </c>
      <c r="U191" s="2" t="inlineStr"/>
    </row>
    <row r="192" ht="15" customHeight="1">
      <c r="A192" t="inlineStr">
        <is>
          <t>A 12506-2023</t>
        </is>
      </c>
      <c r="B192" t="inlineStr">
        <is>
          <t>avverkningsanmälan</t>
        </is>
      </c>
      <c r="C192" t="inlineStr">
        <is>
          <t>Föryngringsavverkning</t>
        </is>
      </c>
      <c r="D192" s="1" t="n">
        <v>44999</v>
      </c>
      <c r="E192" s="1" t="n">
        <v>46220</v>
      </c>
      <c r="F192" t="inlineStr">
        <is>
          <t>VÄSTERBOTTENS LÄN</t>
        </is>
      </c>
      <c r="G192" t="inlineStr">
        <is>
          <t>SORSELE</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26582-2023</t>
        </is>
      </c>
      <c r="B193" t="inlineStr">
        <is>
          <t>avverkningsanmälan</t>
        </is>
      </c>
      <c r="C193" t="inlineStr">
        <is>
          <t>Föryngringsavverkning</t>
        </is>
      </c>
      <c r="D193" s="1" t="n">
        <v>45090</v>
      </c>
      <c r="E193" s="1" t="n">
        <v>46220</v>
      </c>
      <c r="F193" t="inlineStr">
        <is>
          <t>VÄSTERBOTTENS LÄN</t>
        </is>
      </c>
      <c r="G193" t="inlineStr">
        <is>
          <t>SORSELE</t>
        </is>
      </c>
      <c r="I193" t="n">
        <v>5.9</v>
      </c>
      <c r="J193" t="n">
        <v>0</v>
      </c>
      <c r="K193" t="n">
        <v>0</v>
      </c>
      <c r="L193" t="n">
        <v>0</v>
      </c>
      <c r="M193" t="n">
        <v>0</v>
      </c>
      <c r="N193" t="n">
        <v>0</v>
      </c>
      <c r="O193" t="n">
        <v>0</v>
      </c>
      <c r="P193" t="n">
        <v>0</v>
      </c>
      <c r="Q193" t="n">
        <v>0</v>
      </c>
      <c r="R193" t="n">
        <v>0</v>
      </c>
      <c r="S193" t="n">
        <v>0</v>
      </c>
      <c r="T193" t="n">
        <v>0</v>
      </c>
      <c r="U193" s="2" t="inlineStr"/>
    </row>
    <row r="194" ht="15" customHeight="1">
      <c r="A194" t="inlineStr">
        <is>
          <t>A 46076-2022</t>
        </is>
      </c>
      <c r="B194" t="inlineStr">
        <is>
          <t>avverkningsanmälan</t>
        </is>
      </c>
      <c r="C194" t="inlineStr">
        <is>
          <t>Föryngringsavverkning</t>
        </is>
      </c>
      <c r="D194" s="1" t="n">
        <v>44845</v>
      </c>
      <c r="E194" s="1" t="n">
        <v>46220</v>
      </c>
      <c r="F194" t="inlineStr">
        <is>
          <t>VÄSTERBOTTENS LÄN</t>
        </is>
      </c>
      <c r="G194" t="inlineStr">
        <is>
          <t>SORSELE</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12437-2022</t>
        </is>
      </c>
      <c r="B195" t="inlineStr">
        <is>
          <t>avverkningsanmälan</t>
        </is>
      </c>
      <c r="C195" t="inlineStr">
        <is>
          <t>Föryngringsavverkning</t>
        </is>
      </c>
      <c r="D195" s="1" t="n">
        <v>44638</v>
      </c>
      <c r="E195" s="1" t="n">
        <v>46220</v>
      </c>
      <c r="F195" t="inlineStr">
        <is>
          <t>VÄSTERBOTTENS LÄN</t>
        </is>
      </c>
      <c r="G195" t="inlineStr">
        <is>
          <t>SORSELE</t>
        </is>
      </c>
      <c r="I195" t="n">
        <v>5.4</v>
      </c>
      <c r="J195" t="n">
        <v>0</v>
      </c>
      <c r="K195" t="n">
        <v>0</v>
      </c>
      <c r="L195" t="n">
        <v>0</v>
      </c>
      <c r="M195" t="n">
        <v>0</v>
      </c>
      <c r="N195" t="n">
        <v>0</v>
      </c>
      <c r="O195" t="n">
        <v>0</v>
      </c>
      <c r="P195" t="n">
        <v>0</v>
      </c>
      <c r="Q195" t="n">
        <v>0</v>
      </c>
      <c r="R195" t="n">
        <v>0</v>
      </c>
      <c r="S195" t="n">
        <v>0</v>
      </c>
      <c r="T195" t="n">
        <v>0</v>
      </c>
      <c r="U195" s="2" t="inlineStr"/>
    </row>
    <row r="196" ht="15" customHeight="1">
      <c r="A196" t="inlineStr">
        <is>
          <t>A 2929-2025</t>
        </is>
      </c>
      <c r="B196" t="inlineStr">
        <is>
          <t>avverkningsanmälan</t>
        </is>
      </c>
      <c r="C196" t="inlineStr">
        <is>
          <t>Föryngringsavverkning</t>
        </is>
      </c>
      <c r="D196" s="1" t="n">
        <v>45678</v>
      </c>
      <c r="E196" s="1" t="n">
        <v>46220</v>
      </c>
      <c r="F196" t="inlineStr">
        <is>
          <t>VÄSTERBOTTENS LÄN</t>
        </is>
      </c>
      <c r="G196" t="inlineStr">
        <is>
          <t>SORSELE</t>
        </is>
      </c>
      <c r="I196" t="n">
        <v>49.7</v>
      </c>
      <c r="J196" t="n">
        <v>0</v>
      </c>
      <c r="K196" t="n">
        <v>0</v>
      </c>
      <c r="L196" t="n">
        <v>0</v>
      </c>
      <c r="M196" t="n">
        <v>0</v>
      </c>
      <c r="N196" t="n">
        <v>0</v>
      </c>
      <c r="O196" t="n">
        <v>0</v>
      </c>
      <c r="P196" t="n">
        <v>0</v>
      </c>
      <c r="Q196" t="n">
        <v>0</v>
      </c>
      <c r="R196" t="n">
        <v>0</v>
      </c>
      <c r="S196" t="n">
        <v>0</v>
      </c>
      <c r="T196" t="n">
        <v>0</v>
      </c>
      <c r="U196" s="2" t="inlineStr"/>
    </row>
    <row r="197" ht="15" customHeight="1">
      <c r="A197" t="inlineStr">
        <is>
          <t>A 15856-2025</t>
        </is>
      </c>
      <c r="B197" t="inlineStr">
        <is>
          <t>avverkningsanmälan</t>
        </is>
      </c>
      <c r="C197" t="inlineStr">
        <is>
          <t>Föryngringsavverkning</t>
        </is>
      </c>
      <c r="D197" s="1" t="n">
        <v>45749</v>
      </c>
      <c r="E197" s="1" t="n">
        <v>46220</v>
      </c>
      <c r="F197" t="inlineStr">
        <is>
          <t>VÄSTERBOTTENS LÄN</t>
        </is>
      </c>
      <c r="G197" t="inlineStr">
        <is>
          <t>SORSELE</t>
        </is>
      </c>
      <c r="I197" t="n">
        <v>2.9</v>
      </c>
      <c r="J197" t="n">
        <v>0</v>
      </c>
      <c r="K197" t="n">
        <v>0</v>
      </c>
      <c r="L197" t="n">
        <v>0</v>
      </c>
      <c r="M197" t="n">
        <v>0</v>
      </c>
      <c r="N197" t="n">
        <v>0</v>
      </c>
      <c r="O197" t="n">
        <v>0</v>
      </c>
      <c r="P197" t="n">
        <v>0</v>
      </c>
      <c r="Q197" t="n">
        <v>0</v>
      </c>
      <c r="R197" t="n">
        <v>0</v>
      </c>
      <c r="S197" t="n">
        <v>0</v>
      </c>
      <c r="T197" t="n">
        <v>0</v>
      </c>
      <c r="U197" s="2" t="inlineStr"/>
    </row>
    <row r="198" ht="15" customHeight="1">
      <c r="A198" t="inlineStr">
        <is>
          <t>A 60896-2025</t>
        </is>
      </c>
      <c r="B198" t="inlineStr">
        <is>
          <t>avverkningsanmälan</t>
        </is>
      </c>
      <c r="C198" t="inlineStr">
        <is>
          <t>Avverkning för annat ändamål</t>
        </is>
      </c>
      <c r="D198" s="1" t="n">
        <v>45999</v>
      </c>
      <c r="E198" s="1" t="n">
        <v>46220</v>
      </c>
      <c r="F198" t="inlineStr">
        <is>
          <t>VÄSTERBOTTENS LÄN</t>
        </is>
      </c>
      <c r="G198" t="inlineStr">
        <is>
          <t>SORSELE</t>
        </is>
      </c>
      <c r="H198" t="inlineStr">
        <is>
          <t>Sveaskog</t>
        </is>
      </c>
      <c r="I198" t="n">
        <v>3.9</v>
      </c>
      <c r="J198" t="n">
        <v>0</v>
      </c>
      <c r="K198" t="n">
        <v>0</v>
      </c>
      <c r="L198" t="n">
        <v>0</v>
      </c>
      <c r="M198" t="n">
        <v>0</v>
      </c>
      <c r="N198" t="n">
        <v>0</v>
      </c>
      <c r="O198" t="n">
        <v>0</v>
      </c>
      <c r="P198" t="n">
        <v>0</v>
      </c>
      <c r="Q198" t="n">
        <v>0</v>
      </c>
      <c r="R198" t="n">
        <v>0</v>
      </c>
      <c r="S198" t="n">
        <v>0</v>
      </c>
      <c r="T198" t="n">
        <v>0</v>
      </c>
      <c r="U198" s="2" t="inlineStr"/>
    </row>
    <row r="199" ht="15" customHeight="1">
      <c r="A199" t="inlineStr">
        <is>
          <t>A 62315-2025</t>
        </is>
      </c>
      <c r="B199" t="inlineStr">
        <is>
          <t>avverkningsanmälan</t>
        </is>
      </c>
      <c r="C199" t="inlineStr">
        <is>
          <t>Föryngringsavverkning</t>
        </is>
      </c>
      <c r="D199" s="1" t="n">
        <v>46003</v>
      </c>
      <c r="E199" s="1" t="n">
        <v>46220</v>
      </c>
      <c r="F199" t="inlineStr">
        <is>
          <t>VÄSTERBOTTENS LÄN</t>
        </is>
      </c>
      <c r="G199" t="inlineStr">
        <is>
          <t>SORSELE</t>
        </is>
      </c>
      <c r="I199" t="n">
        <v>9.199999999999999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61655-2025</t>
        </is>
      </c>
      <c r="B200" t="inlineStr">
        <is>
          <t>avverkningsanmälan</t>
        </is>
      </c>
      <c r="C200" t="inlineStr">
        <is>
          <t>Föryngringsavverkning</t>
        </is>
      </c>
      <c r="D200" s="1" t="n">
        <v>46002</v>
      </c>
      <c r="E200" s="1" t="n">
        <v>46220</v>
      </c>
      <c r="F200" t="inlineStr">
        <is>
          <t>VÄSTERBOTTENS LÄN</t>
        </is>
      </c>
      <c r="G200" t="inlineStr">
        <is>
          <t>SORSELE</t>
        </is>
      </c>
      <c r="H200" t="inlineStr">
        <is>
          <t>SCA</t>
        </is>
      </c>
      <c r="I200" t="n">
        <v>3.7</v>
      </c>
      <c r="J200" t="n">
        <v>0</v>
      </c>
      <c r="K200" t="n">
        <v>0</v>
      </c>
      <c r="L200" t="n">
        <v>0</v>
      </c>
      <c r="M200" t="n">
        <v>0</v>
      </c>
      <c r="N200" t="n">
        <v>0</v>
      </c>
      <c r="O200" t="n">
        <v>0</v>
      </c>
      <c r="P200" t="n">
        <v>0</v>
      </c>
      <c r="Q200" t="n">
        <v>0</v>
      </c>
      <c r="R200" t="n">
        <v>0</v>
      </c>
      <c r="S200" t="n">
        <v>0</v>
      </c>
      <c r="T200" t="n">
        <v>0</v>
      </c>
      <c r="U200" s="2" t="inlineStr"/>
    </row>
    <row r="201" ht="15" customHeight="1">
      <c r="A201" t="inlineStr">
        <is>
          <t>A 47908-2022</t>
        </is>
      </c>
      <c r="B201" t="inlineStr">
        <is>
          <t>avverkningsanmälan</t>
        </is>
      </c>
      <c r="C201" t="inlineStr">
        <is>
          <t>Föryngringsavverkning</t>
        </is>
      </c>
      <c r="D201" s="1" t="n">
        <v>44855</v>
      </c>
      <c r="E201" s="1" t="n">
        <v>46220</v>
      </c>
      <c r="F201" t="inlineStr">
        <is>
          <t>VÄSTERBOTTENS LÄN</t>
        </is>
      </c>
      <c r="G201" t="inlineStr">
        <is>
          <t>SORSELE</t>
        </is>
      </c>
      <c r="H201" t="inlineStr">
        <is>
          <t>Kyrkan</t>
        </is>
      </c>
      <c r="I201" t="n">
        <v>22.7</v>
      </c>
      <c r="J201" t="n">
        <v>0</v>
      </c>
      <c r="K201" t="n">
        <v>0</v>
      </c>
      <c r="L201" t="n">
        <v>0</v>
      </c>
      <c r="M201" t="n">
        <v>0</v>
      </c>
      <c r="N201" t="n">
        <v>0</v>
      </c>
      <c r="O201" t="n">
        <v>0</v>
      </c>
      <c r="P201" t="n">
        <v>0</v>
      </c>
      <c r="Q201" t="n">
        <v>0</v>
      </c>
      <c r="R201" t="n">
        <v>0</v>
      </c>
      <c r="S201" t="n">
        <v>0</v>
      </c>
      <c r="T201" t="n">
        <v>0</v>
      </c>
      <c r="U201" s="2" t="inlineStr"/>
    </row>
    <row r="202" ht="15" customHeight="1">
      <c r="A202" t="inlineStr">
        <is>
          <t>A 60939-2023</t>
        </is>
      </c>
      <c r="B202" t="inlineStr">
        <is>
          <t>avverkningsanmälan</t>
        </is>
      </c>
      <c r="C202" t="inlineStr">
        <is>
          <t>Föryngringsavverkning</t>
        </is>
      </c>
      <c r="D202" s="1" t="n">
        <v>45259</v>
      </c>
      <c r="E202" s="1" t="n">
        <v>46220</v>
      </c>
      <c r="F202" t="inlineStr">
        <is>
          <t>VÄSTERBOTTENS LÄN</t>
        </is>
      </c>
      <c r="G202" t="inlineStr">
        <is>
          <t>SORSELE</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62468-2025</t>
        </is>
      </c>
      <c r="B203" t="inlineStr">
        <is>
          <t>avverkningsanmälan</t>
        </is>
      </c>
      <c r="C203" t="inlineStr">
        <is>
          <t>Föryngringsavverkning</t>
        </is>
      </c>
      <c r="D203" s="1" t="n">
        <v>46007</v>
      </c>
      <c r="E203" s="1" t="n">
        <v>46220</v>
      </c>
      <c r="F203" t="inlineStr">
        <is>
          <t>VÄSTERBOTTENS LÄN</t>
        </is>
      </c>
      <c r="G203" t="inlineStr">
        <is>
          <t>SORSELE</t>
        </is>
      </c>
      <c r="I203" t="n">
        <v>14.6</v>
      </c>
      <c r="J203" t="n">
        <v>0</v>
      </c>
      <c r="K203" t="n">
        <v>0</v>
      </c>
      <c r="L203" t="n">
        <v>0</v>
      </c>
      <c r="M203" t="n">
        <v>0</v>
      </c>
      <c r="N203" t="n">
        <v>0</v>
      </c>
      <c r="O203" t="n">
        <v>0</v>
      </c>
      <c r="P203" t="n">
        <v>0</v>
      </c>
      <c r="Q203" t="n">
        <v>0</v>
      </c>
      <c r="R203" t="n">
        <v>0</v>
      </c>
      <c r="S203" t="n">
        <v>0</v>
      </c>
      <c r="T203" t="n">
        <v>0</v>
      </c>
      <c r="U203" s="2" t="inlineStr"/>
    </row>
    <row r="204" ht="15" customHeight="1">
      <c r="A204" t="inlineStr">
        <is>
          <t>A 54375-2022</t>
        </is>
      </c>
      <c r="B204" t="inlineStr">
        <is>
          <t>avverkningsanmälan</t>
        </is>
      </c>
      <c r="C204" t="inlineStr">
        <is>
          <t>Föryngringsavverkning</t>
        </is>
      </c>
      <c r="D204" s="1" t="n">
        <v>44879</v>
      </c>
      <c r="E204" s="1" t="n">
        <v>46220</v>
      </c>
      <c r="F204" t="inlineStr">
        <is>
          <t>VÄSTERBOTTENS LÄN</t>
        </is>
      </c>
      <c r="G204" t="inlineStr">
        <is>
          <t>SORSELE</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10658-2026</t>
        </is>
      </c>
      <c r="B205" t="inlineStr">
        <is>
          <t>avverkningsanmälan</t>
        </is>
      </c>
      <c r="C205" t="inlineStr">
        <is>
          <t>Föryngringsavverkning</t>
        </is>
      </c>
      <c r="D205" s="1" t="n">
        <v>46078</v>
      </c>
      <c r="E205" s="1" t="n">
        <v>46220</v>
      </c>
      <c r="F205" t="inlineStr">
        <is>
          <t>VÄSTERBOTTENS LÄN</t>
        </is>
      </c>
      <c r="G205" t="inlineStr">
        <is>
          <t>SORSELE</t>
        </is>
      </c>
      <c r="H205" t="inlineStr">
        <is>
          <t>SCA</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11417-2026</t>
        </is>
      </c>
      <c r="B206" t="inlineStr">
        <is>
          <t>avverkningsanmälan</t>
        </is>
      </c>
      <c r="C206" t="inlineStr">
        <is>
          <t>Föryngringsavverkning</t>
        </is>
      </c>
      <c r="D206" s="1" t="n">
        <v>46083</v>
      </c>
      <c r="E206" s="1" t="n">
        <v>46220</v>
      </c>
      <c r="F206" t="inlineStr">
        <is>
          <t>VÄSTERBOTTENS LÄN</t>
        </is>
      </c>
      <c r="G206" t="inlineStr">
        <is>
          <t>SORSELE</t>
        </is>
      </c>
      <c r="H206" t="inlineStr">
        <is>
          <t>SCA</t>
        </is>
      </c>
      <c r="I206" t="n">
        <v>4.4</v>
      </c>
      <c r="J206" t="n">
        <v>0</v>
      </c>
      <c r="K206" t="n">
        <v>0</v>
      </c>
      <c r="L206" t="n">
        <v>0</v>
      </c>
      <c r="M206" t="n">
        <v>0</v>
      </c>
      <c r="N206" t="n">
        <v>0</v>
      </c>
      <c r="O206" t="n">
        <v>0</v>
      </c>
      <c r="P206" t="n">
        <v>0</v>
      </c>
      <c r="Q206" t="n">
        <v>0</v>
      </c>
      <c r="R206" t="n">
        <v>0</v>
      </c>
      <c r="S206" t="n">
        <v>0</v>
      </c>
      <c r="T206" t="n">
        <v>0</v>
      </c>
      <c r="U206" s="2" t="inlineStr"/>
    </row>
    <row r="207" ht="15" customHeight="1">
      <c r="A207" t="inlineStr">
        <is>
          <t>A 11402-2026</t>
        </is>
      </c>
      <c r="B207" t="inlineStr">
        <is>
          <t>avverkningsanmälan</t>
        </is>
      </c>
      <c r="C207" t="inlineStr">
        <is>
          <t>Föryngringsavverkning</t>
        </is>
      </c>
      <c r="D207" s="1" t="n">
        <v>46083</v>
      </c>
      <c r="E207" s="1" t="n">
        <v>46220</v>
      </c>
      <c r="F207" t="inlineStr">
        <is>
          <t>VÄSTERBOTTENS LÄN</t>
        </is>
      </c>
      <c r="G207" t="inlineStr">
        <is>
          <t>SORSELE</t>
        </is>
      </c>
      <c r="H207" t="inlineStr">
        <is>
          <t>SCA</t>
        </is>
      </c>
      <c r="I207" t="n">
        <v>0.3</v>
      </c>
      <c r="J207" t="n">
        <v>0</v>
      </c>
      <c r="K207" t="n">
        <v>0</v>
      </c>
      <c r="L207" t="n">
        <v>0</v>
      </c>
      <c r="M207" t="n">
        <v>0</v>
      </c>
      <c r="N207" t="n">
        <v>0</v>
      </c>
      <c r="O207" t="n">
        <v>0</v>
      </c>
      <c r="P207" t="n">
        <v>0</v>
      </c>
      <c r="Q207" t="n">
        <v>0</v>
      </c>
      <c r="R207" t="n">
        <v>0</v>
      </c>
      <c r="S207" t="n">
        <v>0</v>
      </c>
      <c r="T207" t="n">
        <v>0</v>
      </c>
      <c r="U207" s="2" t="inlineStr"/>
    </row>
    <row r="208" ht="15" customHeight="1">
      <c r="A208" t="inlineStr">
        <is>
          <t>A 11885-2026</t>
        </is>
      </c>
      <c r="B208" t="inlineStr">
        <is>
          <t>avverkningsanmälan</t>
        </is>
      </c>
      <c r="C208" t="inlineStr">
        <is>
          <t>Föryngringsavverkning</t>
        </is>
      </c>
      <c r="D208" s="1" t="n">
        <v>46085</v>
      </c>
      <c r="E208" s="1" t="n">
        <v>46220</v>
      </c>
      <c r="F208" t="inlineStr">
        <is>
          <t>VÄSTERBOTTENS LÄN</t>
        </is>
      </c>
      <c r="G208" t="inlineStr">
        <is>
          <t>SORSELE</t>
        </is>
      </c>
      <c r="H208" t="inlineStr">
        <is>
          <t>SCA</t>
        </is>
      </c>
      <c r="I208" t="n">
        <v>40.4</v>
      </c>
      <c r="J208" t="n">
        <v>0</v>
      </c>
      <c r="K208" t="n">
        <v>0</v>
      </c>
      <c r="L208" t="n">
        <v>0</v>
      </c>
      <c r="M208" t="n">
        <v>0</v>
      </c>
      <c r="N208" t="n">
        <v>0</v>
      </c>
      <c r="O208" t="n">
        <v>0</v>
      </c>
      <c r="P208" t="n">
        <v>0</v>
      </c>
      <c r="Q208" t="n">
        <v>0</v>
      </c>
      <c r="R208" t="n">
        <v>0</v>
      </c>
      <c r="S208" t="n">
        <v>0</v>
      </c>
      <c r="T208" t="n">
        <v>0</v>
      </c>
      <c r="U208" s="2" t="inlineStr"/>
    </row>
    <row r="209" ht="15" customHeight="1">
      <c r="A209" t="inlineStr">
        <is>
          <t>A 17367-2023</t>
        </is>
      </c>
      <c r="B209" t="inlineStr">
        <is>
          <t>avverkningsanmälan</t>
        </is>
      </c>
      <c r="C209" t="inlineStr">
        <is>
          <t>Föryngringsavverkning</t>
        </is>
      </c>
      <c r="D209" s="1" t="n">
        <v>45034</v>
      </c>
      <c r="E209" s="1" t="n">
        <v>46220</v>
      </c>
      <c r="F209" t="inlineStr">
        <is>
          <t>VÄSTERBOTTENS LÄN</t>
        </is>
      </c>
      <c r="G209" t="inlineStr">
        <is>
          <t>SORSELE</t>
        </is>
      </c>
      <c r="H209" t="inlineStr">
        <is>
          <t>Övriga statliga verk och myndigheter</t>
        </is>
      </c>
      <c r="I209" t="n">
        <v>132.9</v>
      </c>
      <c r="J209" t="n">
        <v>0</v>
      </c>
      <c r="K209" t="n">
        <v>0</v>
      </c>
      <c r="L209" t="n">
        <v>0</v>
      </c>
      <c r="M209" t="n">
        <v>0</v>
      </c>
      <c r="N209" t="n">
        <v>0</v>
      </c>
      <c r="O209" t="n">
        <v>0</v>
      </c>
      <c r="P209" t="n">
        <v>0</v>
      </c>
      <c r="Q209" t="n">
        <v>0</v>
      </c>
      <c r="R209" t="n">
        <v>0</v>
      </c>
      <c r="S209" t="n">
        <v>0</v>
      </c>
      <c r="T209" t="n">
        <v>0</v>
      </c>
      <c r="U209" s="2" t="inlineStr"/>
    </row>
    <row r="210" ht="15" customHeight="1">
      <c r="A210" t="inlineStr">
        <is>
          <t>A 10793-2023</t>
        </is>
      </c>
      <c r="B210" t="inlineStr">
        <is>
          <t>avverkningsanmälan</t>
        </is>
      </c>
      <c r="C210" t="inlineStr">
        <is>
          <t>Föryngringsavverkning</t>
        </is>
      </c>
      <c r="D210" s="1" t="n">
        <v>44989</v>
      </c>
      <c r="E210" s="1" t="n">
        <v>46220</v>
      </c>
      <c r="F210" t="inlineStr">
        <is>
          <t>VÄSTERBOTTENS LÄN</t>
        </is>
      </c>
      <c r="G210" t="inlineStr">
        <is>
          <t>SORSELE</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52680-2021</t>
        </is>
      </c>
      <c r="B211" t="inlineStr">
        <is>
          <t>avverkningsanmälan</t>
        </is>
      </c>
      <c r="C211" t="inlineStr">
        <is>
          <t>Föryngringsavverkning</t>
        </is>
      </c>
      <c r="D211" s="1" t="n">
        <v>44466</v>
      </c>
      <c r="E211" s="1" t="n">
        <v>46220</v>
      </c>
      <c r="F211" t="inlineStr">
        <is>
          <t>VÄSTERBOTTENS LÄN</t>
        </is>
      </c>
      <c r="G211" t="inlineStr">
        <is>
          <t>SORSELE</t>
        </is>
      </c>
      <c r="I211" t="n">
        <v>10.5</v>
      </c>
      <c r="J211" t="n">
        <v>0</v>
      </c>
      <c r="K211" t="n">
        <v>0</v>
      </c>
      <c r="L211" t="n">
        <v>0</v>
      </c>
      <c r="M211" t="n">
        <v>0</v>
      </c>
      <c r="N211" t="n">
        <v>0</v>
      </c>
      <c r="O211" t="n">
        <v>0</v>
      </c>
      <c r="P211" t="n">
        <v>0</v>
      </c>
      <c r="Q211" t="n">
        <v>0</v>
      </c>
      <c r="R211" t="n">
        <v>0</v>
      </c>
      <c r="S211" t="n">
        <v>0</v>
      </c>
      <c r="T211" t="n">
        <v>0</v>
      </c>
      <c r="U211" s="2" t="inlineStr"/>
    </row>
    <row r="212" ht="15" customHeight="1">
      <c r="A212" t="inlineStr">
        <is>
          <t>A 56515-2024</t>
        </is>
      </c>
      <c r="B212" t="inlineStr">
        <is>
          <t>avverkningsanmälan</t>
        </is>
      </c>
      <c r="C212" t="inlineStr">
        <is>
          <t>Föryngringsavverkning</t>
        </is>
      </c>
      <c r="D212" s="1" t="n">
        <v>45625</v>
      </c>
      <c r="E212" s="1" t="n">
        <v>46220</v>
      </c>
      <c r="F212" t="inlineStr">
        <is>
          <t>VÄSTERBOTTENS LÄN</t>
        </is>
      </c>
      <c r="G212" t="inlineStr">
        <is>
          <t>SORSELE</t>
        </is>
      </c>
      <c r="H212" t="inlineStr">
        <is>
          <t>SCA</t>
        </is>
      </c>
      <c r="I212" t="n">
        <v>20.4</v>
      </c>
      <c r="J212" t="n">
        <v>0</v>
      </c>
      <c r="K212" t="n">
        <v>0</v>
      </c>
      <c r="L212" t="n">
        <v>0</v>
      </c>
      <c r="M212" t="n">
        <v>0</v>
      </c>
      <c r="N212" t="n">
        <v>0</v>
      </c>
      <c r="O212" t="n">
        <v>0</v>
      </c>
      <c r="P212" t="n">
        <v>0</v>
      </c>
      <c r="Q212" t="n">
        <v>0</v>
      </c>
      <c r="R212" t="n">
        <v>0</v>
      </c>
      <c r="S212" t="n">
        <v>0</v>
      </c>
      <c r="T212" t="n">
        <v>0</v>
      </c>
      <c r="U212" s="2" t="inlineStr"/>
    </row>
    <row r="213" ht="15" customHeight="1">
      <c r="A213" t="inlineStr">
        <is>
          <t>A 14057-2026</t>
        </is>
      </c>
      <c r="B213" t="inlineStr">
        <is>
          <t>avverkningsanmälan</t>
        </is>
      </c>
      <c r="C213" t="inlineStr">
        <is>
          <t>Föryngringsavverkning</t>
        </is>
      </c>
      <c r="D213" s="1" t="n">
        <v>46099</v>
      </c>
      <c r="E213" s="1" t="n">
        <v>46220</v>
      </c>
      <c r="F213" t="inlineStr">
        <is>
          <t>VÄSTERBOTTENS LÄN</t>
        </is>
      </c>
      <c r="G213" t="inlineStr">
        <is>
          <t>SORSELE</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14063-2026</t>
        </is>
      </c>
      <c r="B214" t="inlineStr">
        <is>
          <t>avverkningsanmälan</t>
        </is>
      </c>
      <c r="C214" t="inlineStr">
        <is>
          <t>Föryngringsavverkning</t>
        </is>
      </c>
      <c r="D214" s="1" t="n">
        <v>46099</v>
      </c>
      <c r="E214" s="1" t="n">
        <v>46220</v>
      </c>
      <c r="F214" t="inlineStr">
        <is>
          <t>VÄSTERBOTTENS LÄN</t>
        </is>
      </c>
      <c r="G214" t="inlineStr">
        <is>
          <t>SORSELE</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15002-2022</t>
        </is>
      </c>
      <c r="B215" t="inlineStr">
        <is>
          <t>avverkningsanmälan</t>
        </is>
      </c>
      <c r="C215" t="inlineStr">
        <is>
          <t>Föryngringsavverkning</t>
        </is>
      </c>
      <c r="D215" s="1" t="n">
        <v>44657</v>
      </c>
      <c r="E215" s="1" t="n">
        <v>46220</v>
      </c>
      <c r="F215" t="inlineStr">
        <is>
          <t>VÄSTERBOTTENS LÄN</t>
        </is>
      </c>
      <c r="G215" t="inlineStr">
        <is>
          <t>SORSELE</t>
        </is>
      </c>
      <c r="I215" t="n">
        <v>7.1</v>
      </c>
      <c r="J215" t="n">
        <v>0</v>
      </c>
      <c r="K215" t="n">
        <v>0</v>
      </c>
      <c r="L215" t="n">
        <v>0</v>
      </c>
      <c r="M215" t="n">
        <v>0</v>
      </c>
      <c r="N215" t="n">
        <v>0</v>
      </c>
      <c r="O215" t="n">
        <v>0</v>
      </c>
      <c r="P215" t="n">
        <v>0</v>
      </c>
      <c r="Q215" t="n">
        <v>0</v>
      </c>
      <c r="R215" t="n">
        <v>0</v>
      </c>
      <c r="S215" t="n">
        <v>0</v>
      </c>
      <c r="T215" t="n">
        <v>0</v>
      </c>
      <c r="U215" s="2" t="inlineStr"/>
    </row>
    <row r="216" ht="15" customHeight="1">
      <c r="A216" t="inlineStr">
        <is>
          <t>A 15008-2022</t>
        </is>
      </c>
      <c r="B216" t="inlineStr">
        <is>
          <t>avverkningsanmälan</t>
        </is>
      </c>
      <c r="C216" t="inlineStr">
        <is>
          <t>Föryngringsavverkning</t>
        </is>
      </c>
      <c r="D216" s="1" t="n">
        <v>44657</v>
      </c>
      <c r="E216" s="1" t="n">
        <v>46220</v>
      </c>
      <c r="F216" t="inlineStr">
        <is>
          <t>VÄSTERBOTTENS LÄN</t>
        </is>
      </c>
      <c r="G216" t="inlineStr">
        <is>
          <t>SORSELE</t>
        </is>
      </c>
      <c r="I216" t="n">
        <v>8</v>
      </c>
      <c r="J216" t="n">
        <v>0</v>
      </c>
      <c r="K216" t="n">
        <v>0</v>
      </c>
      <c r="L216" t="n">
        <v>0</v>
      </c>
      <c r="M216" t="n">
        <v>0</v>
      </c>
      <c r="N216" t="n">
        <v>0</v>
      </c>
      <c r="O216" t="n">
        <v>0</v>
      </c>
      <c r="P216" t="n">
        <v>0</v>
      </c>
      <c r="Q216" t="n">
        <v>0</v>
      </c>
      <c r="R216" t="n">
        <v>0</v>
      </c>
      <c r="S216" t="n">
        <v>0</v>
      </c>
      <c r="T216" t="n">
        <v>0</v>
      </c>
      <c r="U216" s="2" t="inlineStr"/>
    </row>
    <row r="217" ht="15" customHeight="1">
      <c r="A217" t="inlineStr">
        <is>
          <t>A 14238-2026</t>
        </is>
      </c>
      <c r="B217" t="inlineStr">
        <is>
          <t>avverkningsanmälan</t>
        </is>
      </c>
      <c r="C217" t="inlineStr">
        <is>
          <t>Avverkning för annat ändamål</t>
        </is>
      </c>
      <c r="D217" s="1" t="n">
        <v>46098</v>
      </c>
      <c r="E217" s="1" t="n">
        <v>46220</v>
      </c>
      <c r="F217" t="inlineStr">
        <is>
          <t>VÄSTERBOTTENS LÄN</t>
        </is>
      </c>
      <c r="G217" t="inlineStr">
        <is>
          <t>SORSELE</t>
        </is>
      </c>
      <c r="H217" t="inlineStr">
        <is>
          <t>Sveaskog</t>
        </is>
      </c>
      <c r="I217" t="n">
        <v>0.3</v>
      </c>
      <c r="J217" t="n">
        <v>0</v>
      </c>
      <c r="K217" t="n">
        <v>0</v>
      </c>
      <c r="L217" t="n">
        <v>0</v>
      </c>
      <c r="M217" t="n">
        <v>0</v>
      </c>
      <c r="N217" t="n">
        <v>0</v>
      </c>
      <c r="O217" t="n">
        <v>0</v>
      </c>
      <c r="P217" t="n">
        <v>0</v>
      </c>
      <c r="Q217" t="n">
        <v>0</v>
      </c>
      <c r="R217" t="n">
        <v>0</v>
      </c>
      <c r="S217" t="n">
        <v>0</v>
      </c>
      <c r="T217" t="n">
        <v>0</v>
      </c>
      <c r="U217" s="2" t="inlineStr"/>
    </row>
    <row r="218" ht="15" customHeight="1">
      <c r="A218" t="inlineStr">
        <is>
          <t>A 26037-2025</t>
        </is>
      </c>
      <c r="B218" t="inlineStr">
        <is>
          <t>avverkningsanmälan</t>
        </is>
      </c>
      <c r="C218" t="inlineStr">
        <is>
          <t>Föryngringsavverkning</t>
        </is>
      </c>
      <c r="D218" s="1" t="n">
        <v>45804</v>
      </c>
      <c r="E218" s="1" t="n">
        <v>46220</v>
      </c>
      <c r="F218" t="inlineStr">
        <is>
          <t>VÄSTERBOTTENS LÄN</t>
        </is>
      </c>
      <c r="G218" t="inlineStr">
        <is>
          <t>SORSELE</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63607-2025</t>
        </is>
      </c>
      <c r="B219" t="inlineStr">
        <is>
          <t>avverkningsanmälan</t>
        </is>
      </c>
      <c r="C219" t="inlineStr">
        <is>
          <t>Föryngringsavverkning</t>
        </is>
      </c>
      <c r="D219" s="1" t="n">
        <v>46014</v>
      </c>
      <c r="E219" s="1" t="n">
        <v>46220</v>
      </c>
      <c r="F219" t="inlineStr">
        <is>
          <t>VÄSTERBOTTENS LÄN</t>
        </is>
      </c>
      <c r="G219" t="inlineStr">
        <is>
          <t>SORSELE</t>
        </is>
      </c>
      <c r="I219" t="n">
        <v>37.1</v>
      </c>
      <c r="J219" t="n">
        <v>0</v>
      </c>
      <c r="K219" t="n">
        <v>0</v>
      </c>
      <c r="L219" t="n">
        <v>0</v>
      </c>
      <c r="M219" t="n">
        <v>0</v>
      </c>
      <c r="N219" t="n">
        <v>0</v>
      </c>
      <c r="O219" t="n">
        <v>0</v>
      </c>
      <c r="P219" t="n">
        <v>0</v>
      </c>
      <c r="Q219" t="n">
        <v>0</v>
      </c>
      <c r="R219" t="n">
        <v>0</v>
      </c>
      <c r="S219" t="n">
        <v>0</v>
      </c>
      <c r="T219" t="n">
        <v>0</v>
      </c>
      <c r="U219" s="2" t="inlineStr"/>
    </row>
    <row r="220" ht="15" customHeight="1">
      <c r="A220" t="inlineStr">
        <is>
          <t>A 8233-2025</t>
        </is>
      </c>
      <c r="B220" t="inlineStr">
        <is>
          <t>avverkningsanmälan</t>
        </is>
      </c>
      <c r="C220" t="inlineStr">
        <is>
          <t>Föryngringsavverkning</t>
        </is>
      </c>
      <c r="D220" s="1" t="n">
        <v>45707</v>
      </c>
      <c r="E220" s="1" t="n">
        <v>46220</v>
      </c>
      <c r="F220" t="inlineStr">
        <is>
          <t>VÄSTERBOTTENS LÄN</t>
        </is>
      </c>
      <c r="G220" t="inlineStr">
        <is>
          <t>SORSELE</t>
        </is>
      </c>
      <c r="I220" t="n">
        <v>36.6</v>
      </c>
      <c r="J220" t="n">
        <v>0</v>
      </c>
      <c r="K220" t="n">
        <v>0</v>
      </c>
      <c r="L220" t="n">
        <v>0</v>
      </c>
      <c r="M220" t="n">
        <v>0</v>
      </c>
      <c r="N220" t="n">
        <v>0</v>
      </c>
      <c r="O220" t="n">
        <v>0</v>
      </c>
      <c r="P220" t="n">
        <v>0</v>
      </c>
      <c r="Q220" t="n">
        <v>0</v>
      </c>
      <c r="R220" t="n">
        <v>0</v>
      </c>
      <c r="S220" t="n">
        <v>0</v>
      </c>
      <c r="T220" t="n">
        <v>0</v>
      </c>
      <c r="U220" s="2" t="inlineStr"/>
    </row>
    <row r="221" ht="15" customHeight="1">
      <c r="A221" t="inlineStr">
        <is>
          <t>A 14998-2022</t>
        </is>
      </c>
      <c r="B221" t="inlineStr">
        <is>
          <t>avverkningsanmälan</t>
        </is>
      </c>
      <c r="C221" t="inlineStr">
        <is>
          <t>Föryngringsavverkning</t>
        </is>
      </c>
      <c r="D221" s="1" t="n">
        <v>44657</v>
      </c>
      <c r="E221" s="1" t="n">
        <v>46220</v>
      </c>
      <c r="F221" t="inlineStr">
        <is>
          <t>VÄSTERBOTTENS LÄN</t>
        </is>
      </c>
      <c r="G221" t="inlineStr">
        <is>
          <t>SORSELE</t>
        </is>
      </c>
      <c r="I221" t="n">
        <v>8.9</v>
      </c>
      <c r="J221" t="n">
        <v>0</v>
      </c>
      <c r="K221" t="n">
        <v>0</v>
      </c>
      <c r="L221" t="n">
        <v>0</v>
      </c>
      <c r="M221" t="n">
        <v>0</v>
      </c>
      <c r="N221" t="n">
        <v>0</v>
      </c>
      <c r="O221" t="n">
        <v>0</v>
      </c>
      <c r="P221" t="n">
        <v>0</v>
      </c>
      <c r="Q221" t="n">
        <v>0</v>
      </c>
      <c r="R221" t="n">
        <v>0</v>
      </c>
      <c r="S221" t="n">
        <v>0</v>
      </c>
      <c r="T221" t="n">
        <v>0</v>
      </c>
      <c r="U221" s="2" t="inlineStr"/>
    </row>
    <row r="222" ht="15" customHeight="1">
      <c r="A222" t="inlineStr">
        <is>
          <t>A 38290-2024</t>
        </is>
      </c>
      <c r="B222" t="inlineStr">
        <is>
          <t>avverkningsanmälan</t>
        </is>
      </c>
      <c r="C222" t="inlineStr">
        <is>
          <t>Föryngringsavverkning</t>
        </is>
      </c>
      <c r="D222" s="1" t="n">
        <v>45545</v>
      </c>
      <c r="E222" s="1" t="n">
        <v>46220</v>
      </c>
      <c r="F222" t="inlineStr">
        <is>
          <t>VÄSTERBOTTENS LÄN</t>
        </is>
      </c>
      <c r="G222" t="inlineStr">
        <is>
          <t>SORSELE</t>
        </is>
      </c>
      <c r="I222" t="n">
        <v>27.3</v>
      </c>
      <c r="J222" t="n">
        <v>0</v>
      </c>
      <c r="K222" t="n">
        <v>0</v>
      </c>
      <c r="L222" t="n">
        <v>0</v>
      </c>
      <c r="M222" t="n">
        <v>0</v>
      </c>
      <c r="N222" t="n">
        <v>0</v>
      </c>
      <c r="O222" t="n">
        <v>0</v>
      </c>
      <c r="P222" t="n">
        <v>0</v>
      </c>
      <c r="Q222" t="n">
        <v>0</v>
      </c>
      <c r="R222" t="n">
        <v>0</v>
      </c>
      <c r="S222" t="n">
        <v>0</v>
      </c>
      <c r="T222" t="n">
        <v>0</v>
      </c>
      <c r="U222" s="2" t="inlineStr"/>
    </row>
    <row r="223" ht="15" customHeight="1">
      <c r="A223" t="inlineStr">
        <is>
          <t>A 19959-2023</t>
        </is>
      </c>
      <c r="B223" t="inlineStr">
        <is>
          <t>avverkningsanmälan</t>
        </is>
      </c>
      <c r="C223" t="inlineStr">
        <is>
          <t>Avverkning för att bevara och utveckla /försöksver</t>
        </is>
      </c>
      <c r="D223" s="1" t="n">
        <v>45054</v>
      </c>
      <c r="E223" s="1" t="n">
        <v>46220</v>
      </c>
      <c r="F223" t="inlineStr">
        <is>
          <t>VÄSTERBOTTENS LÄN</t>
        </is>
      </c>
      <c r="G223" t="inlineStr">
        <is>
          <t>SORSELE</t>
        </is>
      </c>
      <c r="H223" t="inlineStr">
        <is>
          <t>Sveaskog</t>
        </is>
      </c>
      <c r="I223" t="n">
        <v>36.9</v>
      </c>
      <c r="J223" t="n">
        <v>0</v>
      </c>
      <c r="K223" t="n">
        <v>0</v>
      </c>
      <c r="L223" t="n">
        <v>0</v>
      </c>
      <c r="M223" t="n">
        <v>0</v>
      </c>
      <c r="N223" t="n">
        <v>0</v>
      </c>
      <c r="O223" t="n">
        <v>0</v>
      </c>
      <c r="P223" t="n">
        <v>0</v>
      </c>
      <c r="Q223" t="n">
        <v>0</v>
      </c>
      <c r="R223" t="n">
        <v>0</v>
      </c>
      <c r="S223" t="n">
        <v>0</v>
      </c>
      <c r="T223" t="n">
        <v>0</v>
      </c>
      <c r="U223" s="2" t="inlineStr"/>
    </row>
    <row r="224" ht="15" customHeight="1">
      <c r="A224" t="inlineStr">
        <is>
          <t>A 72888-2021</t>
        </is>
      </c>
      <c r="B224" t="inlineStr">
        <is>
          <t>avverkningsanmälan</t>
        </is>
      </c>
      <c r="C224" t="inlineStr">
        <is>
          <t>Föryngringsavverkning</t>
        </is>
      </c>
      <c r="D224" s="1" t="n">
        <v>44546</v>
      </c>
      <c r="E224" s="1" t="n">
        <v>46220</v>
      </c>
      <c r="F224" t="inlineStr">
        <is>
          <t>VÄSTERBOTTENS LÄN</t>
        </is>
      </c>
      <c r="G224" t="inlineStr">
        <is>
          <t>SORSELE</t>
        </is>
      </c>
      <c r="I224" t="n">
        <v>10.7</v>
      </c>
      <c r="J224" t="n">
        <v>0</v>
      </c>
      <c r="K224" t="n">
        <v>0</v>
      </c>
      <c r="L224" t="n">
        <v>0</v>
      </c>
      <c r="M224" t="n">
        <v>0</v>
      </c>
      <c r="N224" t="n">
        <v>0</v>
      </c>
      <c r="O224" t="n">
        <v>0</v>
      </c>
      <c r="P224" t="n">
        <v>0</v>
      </c>
      <c r="Q224" t="n">
        <v>0</v>
      </c>
      <c r="R224" t="n">
        <v>0</v>
      </c>
      <c r="S224" t="n">
        <v>0</v>
      </c>
      <c r="T224" t="n">
        <v>0</v>
      </c>
      <c r="U224" s="2" t="inlineStr"/>
    </row>
    <row r="225" ht="15" customHeight="1">
      <c r="A225" t="inlineStr">
        <is>
          <t>A 47887-2023</t>
        </is>
      </c>
      <c r="B225" t="inlineStr">
        <is>
          <t>avverkningsanmälan</t>
        </is>
      </c>
      <c r="C225" t="inlineStr">
        <is>
          <t>Föryngringsavverkning</t>
        </is>
      </c>
      <c r="D225" s="1" t="n">
        <v>45198</v>
      </c>
      <c r="E225" s="1" t="n">
        <v>46220</v>
      </c>
      <c r="F225" t="inlineStr">
        <is>
          <t>VÄSTERBOTTENS LÄN</t>
        </is>
      </c>
      <c r="G225" t="inlineStr">
        <is>
          <t>SORSELE</t>
        </is>
      </c>
      <c r="H225" t="inlineStr">
        <is>
          <t>Övriga statliga verk och myndigheter</t>
        </is>
      </c>
      <c r="I225" t="n">
        <v>20.4</v>
      </c>
      <c r="J225" t="n">
        <v>0</v>
      </c>
      <c r="K225" t="n">
        <v>0</v>
      </c>
      <c r="L225" t="n">
        <v>0</v>
      </c>
      <c r="M225" t="n">
        <v>0</v>
      </c>
      <c r="N225" t="n">
        <v>0</v>
      </c>
      <c r="O225" t="n">
        <v>0</v>
      </c>
      <c r="P225" t="n">
        <v>0</v>
      </c>
      <c r="Q225" t="n">
        <v>0</v>
      </c>
      <c r="R225" t="n">
        <v>0</v>
      </c>
      <c r="S225" t="n">
        <v>0</v>
      </c>
      <c r="T225" t="n">
        <v>0</v>
      </c>
      <c r="U225" s="2" t="inlineStr"/>
    </row>
    <row r="226" ht="15" customHeight="1">
      <c r="A226" t="inlineStr">
        <is>
          <t>A 16433-2026</t>
        </is>
      </c>
      <c r="B226" t="inlineStr">
        <is>
          <t>avverkningsanmälan</t>
        </is>
      </c>
      <c r="C226" t="inlineStr">
        <is>
          <t>Föryngringsavverkning</t>
        </is>
      </c>
      <c r="D226" s="1" t="n">
        <v>46111</v>
      </c>
      <c r="E226" s="1" t="n">
        <v>46220</v>
      </c>
      <c r="F226" t="inlineStr">
        <is>
          <t>VÄSTERBOTTENS LÄN</t>
        </is>
      </c>
      <c r="G226" t="inlineStr">
        <is>
          <t>SORSELE</t>
        </is>
      </c>
      <c r="I226" t="n">
        <v>99.5</v>
      </c>
      <c r="J226" t="n">
        <v>0</v>
      </c>
      <c r="K226" t="n">
        <v>0</v>
      </c>
      <c r="L226" t="n">
        <v>0</v>
      </c>
      <c r="M226" t="n">
        <v>0</v>
      </c>
      <c r="N226" t="n">
        <v>0</v>
      </c>
      <c r="O226" t="n">
        <v>0</v>
      </c>
      <c r="P226" t="n">
        <v>0</v>
      </c>
      <c r="Q226" t="n">
        <v>0</v>
      </c>
      <c r="R226" t="n">
        <v>0</v>
      </c>
      <c r="S226" t="n">
        <v>0</v>
      </c>
      <c r="T226" t="n">
        <v>0</v>
      </c>
      <c r="U226" s="2" t="inlineStr"/>
    </row>
    <row r="227" ht="15" customHeight="1">
      <c r="A227" t="inlineStr">
        <is>
          <t>A 26027-2025</t>
        </is>
      </c>
      <c r="B227" t="inlineStr">
        <is>
          <t>avverkningsanmälan</t>
        </is>
      </c>
      <c r="C227" t="inlineStr">
        <is>
          <t>Föryngringsavverkning</t>
        </is>
      </c>
      <c r="D227" s="1" t="n">
        <v>45804</v>
      </c>
      <c r="E227" s="1" t="n">
        <v>46220</v>
      </c>
      <c r="F227" t="inlineStr">
        <is>
          <t>VÄSTERBOTTENS LÄN</t>
        </is>
      </c>
      <c r="G227" t="inlineStr">
        <is>
          <t>SORSELE</t>
        </is>
      </c>
      <c r="I227" t="n">
        <v>3.8</v>
      </c>
      <c r="J227" t="n">
        <v>0</v>
      </c>
      <c r="K227" t="n">
        <v>0</v>
      </c>
      <c r="L227" t="n">
        <v>0</v>
      </c>
      <c r="M227" t="n">
        <v>0</v>
      </c>
      <c r="N227" t="n">
        <v>0</v>
      </c>
      <c r="O227" t="n">
        <v>0</v>
      </c>
      <c r="P227" t="n">
        <v>0</v>
      </c>
      <c r="Q227" t="n">
        <v>0</v>
      </c>
      <c r="R227" t="n">
        <v>0</v>
      </c>
      <c r="S227" t="n">
        <v>0</v>
      </c>
      <c r="T227" t="n">
        <v>0</v>
      </c>
      <c r="U227" s="2" t="inlineStr"/>
    </row>
    <row r="228" ht="15" customHeight="1">
      <c r="A228" t="inlineStr">
        <is>
          <t>A 9377-2025</t>
        </is>
      </c>
      <c r="B228" t="inlineStr">
        <is>
          <t>avverkningsanmälan</t>
        </is>
      </c>
      <c r="C228" t="inlineStr">
        <is>
          <t>Föryngringsavverkning</t>
        </is>
      </c>
      <c r="D228" s="1" t="n">
        <v>45715</v>
      </c>
      <c r="E228" s="1" t="n">
        <v>46220</v>
      </c>
      <c r="F228" t="inlineStr">
        <is>
          <t>VÄSTERBOTTENS LÄN</t>
        </is>
      </c>
      <c r="G228" t="inlineStr">
        <is>
          <t>SORSELE</t>
        </is>
      </c>
      <c r="I228" t="n">
        <v>24.4</v>
      </c>
      <c r="J228" t="n">
        <v>0</v>
      </c>
      <c r="K228" t="n">
        <v>0</v>
      </c>
      <c r="L228" t="n">
        <v>0</v>
      </c>
      <c r="M228" t="n">
        <v>0</v>
      </c>
      <c r="N228" t="n">
        <v>0</v>
      </c>
      <c r="O228" t="n">
        <v>0</v>
      </c>
      <c r="P228" t="n">
        <v>0</v>
      </c>
      <c r="Q228" t="n">
        <v>0</v>
      </c>
      <c r="R228" t="n">
        <v>0</v>
      </c>
      <c r="S228" t="n">
        <v>0</v>
      </c>
      <c r="T228" t="n">
        <v>0</v>
      </c>
      <c r="U228" s="2" t="inlineStr"/>
    </row>
    <row r="229" ht="15" customHeight="1">
      <c r="A229" t="inlineStr">
        <is>
          <t>A 9377-2025</t>
        </is>
      </c>
      <c r="B229" t="inlineStr">
        <is>
          <t>avverkningsanmälan</t>
        </is>
      </c>
      <c r="C229" t="inlineStr">
        <is>
          <t>Föryngringsavverkning</t>
        </is>
      </c>
      <c r="D229" s="1" t="n">
        <v>45715</v>
      </c>
      <c r="E229" s="1" t="n">
        <v>46220</v>
      </c>
      <c r="F229" t="inlineStr">
        <is>
          <t>VÄSTERBOTTENS LÄN</t>
        </is>
      </c>
      <c r="G229" t="inlineStr">
        <is>
          <t>SORSELE</t>
        </is>
      </c>
      <c r="I229" t="n">
        <v>3.5</v>
      </c>
      <c r="J229" t="n">
        <v>0</v>
      </c>
      <c r="K229" t="n">
        <v>0</v>
      </c>
      <c r="L229" t="n">
        <v>0</v>
      </c>
      <c r="M229" t="n">
        <v>0</v>
      </c>
      <c r="N229" t="n">
        <v>0</v>
      </c>
      <c r="O229" t="n">
        <v>0</v>
      </c>
      <c r="P229" t="n">
        <v>0</v>
      </c>
      <c r="Q229" t="n">
        <v>0</v>
      </c>
      <c r="R229" t="n">
        <v>0</v>
      </c>
      <c r="S229" t="n">
        <v>0</v>
      </c>
      <c r="T229" t="n">
        <v>0</v>
      </c>
      <c r="U229" s="2" t="inlineStr"/>
    </row>
    <row r="230" ht="15" customHeight="1">
      <c r="A230" t="inlineStr">
        <is>
          <t>A 17323-2024</t>
        </is>
      </c>
      <c r="B230" t="inlineStr">
        <is>
          <t>avverkningsanmälan</t>
        </is>
      </c>
      <c r="C230" t="inlineStr">
        <is>
          <t>Föryngringsavverkning</t>
        </is>
      </c>
      <c r="D230" s="1" t="n">
        <v>45414</v>
      </c>
      <c r="E230" s="1" t="n">
        <v>46220</v>
      </c>
      <c r="F230" t="inlineStr">
        <is>
          <t>VÄSTERBOTTENS LÄN</t>
        </is>
      </c>
      <c r="G230" t="inlineStr">
        <is>
          <t>SORSELE</t>
        </is>
      </c>
      <c r="I230" t="n">
        <v>5.7</v>
      </c>
      <c r="J230" t="n">
        <v>0</v>
      </c>
      <c r="K230" t="n">
        <v>0</v>
      </c>
      <c r="L230" t="n">
        <v>0</v>
      </c>
      <c r="M230" t="n">
        <v>0</v>
      </c>
      <c r="N230" t="n">
        <v>0</v>
      </c>
      <c r="O230" t="n">
        <v>0</v>
      </c>
      <c r="P230" t="n">
        <v>0</v>
      </c>
      <c r="Q230" t="n">
        <v>0</v>
      </c>
      <c r="R230" t="n">
        <v>0</v>
      </c>
      <c r="S230" t="n">
        <v>0</v>
      </c>
      <c r="T230" t="n">
        <v>0</v>
      </c>
      <c r="U230" s="2" t="inlineStr"/>
    </row>
    <row r="231" ht="15" customHeight="1">
      <c r="A231" t="inlineStr">
        <is>
          <t>A 15607-2025</t>
        </is>
      </c>
      <c r="B231" t="inlineStr">
        <is>
          <t>avverkningsanmälan</t>
        </is>
      </c>
      <c r="C231" t="inlineStr">
        <is>
          <t>Föryngringsavverkning</t>
        </is>
      </c>
      <c r="D231" s="1" t="n">
        <v>45747</v>
      </c>
      <c r="E231" s="1" t="n">
        <v>46220</v>
      </c>
      <c r="F231" t="inlineStr">
        <is>
          <t>VÄSTERBOTTENS LÄN</t>
        </is>
      </c>
      <c r="G231" t="inlineStr">
        <is>
          <t>SORSELE</t>
        </is>
      </c>
      <c r="I231" t="n">
        <v>3.2</v>
      </c>
      <c r="J231" t="n">
        <v>0</v>
      </c>
      <c r="K231" t="n">
        <v>0</v>
      </c>
      <c r="L231" t="n">
        <v>0</v>
      </c>
      <c r="M231" t="n">
        <v>0</v>
      </c>
      <c r="N231" t="n">
        <v>0</v>
      </c>
      <c r="O231" t="n">
        <v>0</v>
      </c>
      <c r="P231" t="n">
        <v>0</v>
      </c>
      <c r="Q231" t="n">
        <v>0</v>
      </c>
      <c r="R231" t="n">
        <v>0</v>
      </c>
      <c r="S231" t="n">
        <v>0</v>
      </c>
      <c r="T231" t="n">
        <v>0</v>
      </c>
      <c r="U231" s="2" t="inlineStr"/>
    </row>
    <row r="232" ht="15" customHeight="1">
      <c r="A232" t="inlineStr">
        <is>
          <t>A 47603-2022</t>
        </is>
      </c>
      <c r="B232" t="inlineStr">
        <is>
          <t>avverkningsanmälan</t>
        </is>
      </c>
      <c r="C232" t="inlineStr">
        <is>
          <t>Föryngringsavverkning</t>
        </is>
      </c>
      <c r="D232" s="1" t="n">
        <v>44852</v>
      </c>
      <c r="E232" s="1" t="n">
        <v>46220</v>
      </c>
      <c r="F232" t="inlineStr">
        <is>
          <t>VÄSTERBOTTENS LÄN</t>
        </is>
      </c>
      <c r="G232" t="inlineStr">
        <is>
          <t>SORSELE</t>
        </is>
      </c>
      <c r="I232" t="n">
        <v>5</v>
      </c>
      <c r="J232" t="n">
        <v>0</v>
      </c>
      <c r="K232" t="n">
        <v>0</v>
      </c>
      <c r="L232" t="n">
        <v>0</v>
      </c>
      <c r="M232" t="n">
        <v>0</v>
      </c>
      <c r="N232" t="n">
        <v>0</v>
      </c>
      <c r="O232" t="n">
        <v>0</v>
      </c>
      <c r="P232" t="n">
        <v>0</v>
      </c>
      <c r="Q232" t="n">
        <v>0</v>
      </c>
      <c r="R232" t="n">
        <v>0</v>
      </c>
      <c r="S232" t="n">
        <v>0</v>
      </c>
      <c r="T232" t="n">
        <v>0</v>
      </c>
      <c r="U232" s="2" t="inlineStr"/>
    </row>
    <row r="233" ht="15" customHeight="1">
      <c r="A233" t="inlineStr">
        <is>
          <t>A 20850-2023</t>
        </is>
      </c>
      <c r="B233" t="inlineStr">
        <is>
          <t>avverkningsanmälan</t>
        </is>
      </c>
      <c r="C233" t="inlineStr">
        <is>
          <t>Föryngringsavverkning</t>
        </is>
      </c>
      <c r="D233" s="1" t="n">
        <v>45056</v>
      </c>
      <c r="E233" s="1" t="n">
        <v>46220</v>
      </c>
      <c r="F233" t="inlineStr">
        <is>
          <t>VÄSTERBOTTENS LÄN</t>
        </is>
      </c>
      <c r="G233" t="inlineStr">
        <is>
          <t>SORSELE</t>
        </is>
      </c>
      <c r="I233" t="n">
        <v>5.3</v>
      </c>
      <c r="J233" t="n">
        <v>0</v>
      </c>
      <c r="K233" t="n">
        <v>0</v>
      </c>
      <c r="L233" t="n">
        <v>0</v>
      </c>
      <c r="M233" t="n">
        <v>0</v>
      </c>
      <c r="N233" t="n">
        <v>0</v>
      </c>
      <c r="O233" t="n">
        <v>0</v>
      </c>
      <c r="P233" t="n">
        <v>0</v>
      </c>
      <c r="Q233" t="n">
        <v>0</v>
      </c>
      <c r="R233" t="n">
        <v>0</v>
      </c>
      <c r="S233" t="n">
        <v>0</v>
      </c>
      <c r="T233" t="n">
        <v>0</v>
      </c>
      <c r="U233" s="2" t="inlineStr"/>
    </row>
    <row r="234" ht="15" customHeight="1">
      <c r="A234" t="inlineStr">
        <is>
          <t>A 53363-2021</t>
        </is>
      </c>
      <c r="B234" t="inlineStr">
        <is>
          <t>avverkningsanmälan</t>
        </is>
      </c>
      <c r="C234" t="inlineStr">
        <is>
          <t>Föryngringsavverkning</t>
        </is>
      </c>
      <c r="D234" s="1" t="n">
        <v>44468</v>
      </c>
      <c r="E234" s="1" t="n">
        <v>46220</v>
      </c>
      <c r="F234" t="inlineStr">
        <is>
          <t>VÄSTERBOTTENS LÄN</t>
        </is>
      </c>
      <c r="G234" t="inlineStr">
        <is>
          <t>SORSELE</t>
        </is>
      </c>
      <c r="I234" t="n">
        <v>4.6</v>
      </c>
      <c r="J234" t="n">
        <v>0</v>
      </c>
      <c r="K234" t="n">
        <v>0</v>
      </c>
      <c r="L234" t="n">
        <v>0</v>
      </c>
      <c r="M234" t="n">
        <v>0</v>
      </c>
      <c r="N234" t="n">
        <v>0</v>
      </c>
      <c r="O234" t="n">
        <v>0</v>
      </c>
      <c r="P234" t="n">
        <v>0</v>
      </c>
      <c r="Q234" t="n">
        <v>0</v>
      </c>
      <c r="R234" t="n">
        <v>0</v>
      </c>
      <c r="S234" t="n">
        <v>0</v>
      </c>
      <c r="T234" t="n">
        <v>0</v>
      </c>
      <c r="U234" s="2" t="inlineStr"/>
    </row>
    <row r="235" ht="15" customHeight="1">
      <c r="A235" t="inlineStr">
        <is>
          <t>A 37745-2023</t>
        </is>
      </c>
      <c r="B235" t="inlineStr">
        <is>
          <t>avverkningsanmälan</t>
        </is>
      </c>
      <c r="C235" t="inlineStr">
        <is>
          <t>Föryngringsavverkning</t>
        </is>
      </c>
      <c r="D235" s="1" t="n">
        <v>45156</v>
      </c>
      <c r="E235" s="1" t="n">
        <v>46220</v>
      </c>
      <c r="F235" t="inlineStr">
        <is>
          <t>VÄSTERBOTTENS LÄN</t>
        </is>
      </c>
      <c r="G235" t="inlineStr">
        <is>
          <t>SORSELE</t>
        </is>
      </c>
      <c r="I235" t="n">
        <v>8.6</v>
      </c>
      <c r="J235" t="n">
        <v>0</v>
      </c>
      <c r="K235" t="n">
        <v>0</v>
      </c>
      <c r="L235" t="n">
        <v>0</v>
      </c>
      <c r="M235" t="n">
        <v>0</v>
      </c>
      <c r="N235" t="n">
        <v>0</v>
      </c>
      <c r="O235" t="n">
        <v>0</v>
      </c>
      <c r="P235" t="n">
        <v>0</v>
      </c>
      <c r="Q235" t="n">
        <v>0</v>
      </c>
      <c r="R235" t="n">
        <v>0</v>
      </c>
      <c r="S235" t="n">
        <v>0</v>
      </c>
      <c r="T235" t="n">
        <v>0</v>
      </c>
      <c r="U235" s="2" t="inlineStr"/>
    </row>
    <row r="236" ht="15" customHeight="1">
      <c r="A236" t="inlineStr">
        <is>
          <t>A 9800-2023</t>
        </is>
      </c>
      <c r="B236" t="inlineStr">
        <is>
          <t>avverkningsanmälan</t>
        </is>
      </c>
      <c r="C236" t="inlineStr">
        <is>
          <t>Föryngringsavverkning</t>
        </is>
      </c>
      <c r="D236" s="1" t="n">
        <v>44978</v>
      </c>
      <c r="E236" s="1" t="n">
        <v>46220</v>
      </c>
      <c r="F236" t="inlineStr">
        <is>
          <t>VÄSTERBOTTENS LÄN</t>
        </is>
      </c>
      <c r="G236" t="inlineStr">
        <is>
          <t>SORSELE</t>
        </is>
      </c>
      <c r="I236" t="n">
        <v>5.8</v>
      </c>
      <c r="J236" t="n">
        <v>0</v>
      </c>
      <c r="K236" t="n">
        <v>0</v>
      </c>
      <c r="L236" t="n">
        <v>0</v>
      </c>
      <c r="M236" t="n">
        <v>0</v>
      </c>
      <c r="N236" t="n">
        <v>0</v>
      </c>
      <c r="O236" t="n">
        <v>0</v>
      </c>
      <c r="P236" t="n">
        <v>0</v>
      </c>
      <c r="Q236" t="n">
        <v>0</v>
      </c>
      <c r="R236" t="n">
        <v>0</v>
      </c>
      <c r="S236" t="n">
        <v>0</v>
      </c>
      <c r="T236" t="n">
        <v>0</v>
      </c>
      <c r="U236" s="2" t="inlineStr"/>
    </row>
    <row r="237" ht="15" customHeight="1">
      <c r="A237" t="inlineStr">
        <is>
          <t>A 38948-2024</t>
        </is>
      </c>
      <c r="B237" t="inlineStr">
        <is>
          <t>avverkningsanmälan</t>
        </is>
      </c>
      <c r="C237" t="inlineStr">
        <is>
          <t>Föryngringsavverkning</t>
        </is>
      </c>
      <c r="D237" s="1" t="n">
        <v>45548</v>
      </c>
      <c r="E237" s="1" t="n">
        <v>46220</v>
      </c>
      <c r="F237" t="inlineStr">
        <is>
          <t>VÄSTERBOTTENS LÄN</t>
        </is>
      </c>
      <c r="G237" t="inlineStr">
        <is>
          <t>SORSELE</t>
        </is>
      </c>
      <c r="H237" t="inlineStr">
        <is>
          <t>SCA</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37813-2023</t>
        </is>
      </c>
      <c r="B238" t="inlineStr">
        <is>
          <t>avverkningsanmälan</t>
        </is>
      </c>
      <c r="C238" t="inlineStr">
        <is>
          <t>Föryngringsavverkning</t>
        </is>
      </c>
      <c r="D238" s="1" t="n">
        <v>45159</v>
      </c>
      <c r="E238" s="1" t="n">
        <v>46220</v>
      </c>
      <c r="F238" t="inlineStr">
        <is>
          <t>VÄSTERBOTTENS LÄN</t>
        </is>
      </c>
      <c r="G238" t="inlineStr">
        <is>
          <t>SORSELE</t>
        </is>
      </c>
      <c r="H238" t="inlineStr">
        <is>
          <t>SCA</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18814-2026</t>
        </is>
      </c>
      <c r="B239" t="inlineStr">
        <is>
          <t>avverkningsanmälan</t>
        </is>
      </c>
      <c r="C239" t="inlineStr">
        <is>
          <t>Föryngringsavverkning</t>
        </is>
      </c>
      <c r="D239" s="1" t="n">
        <v>46128</v>
      </c>
      <c r="E239" s="1" t="n">
        <v>46220</v>
      </c>
      <c r="F239" t="inlineStr">
        <is>
          <t>VÄSTERBOTTENS LÄN</t>
        </is>
      </c>
      <c r="G239" t="inlineStr">
        <is>
          <t>SORSELE</t>
        </is>
      </c>
      <c r="H239" t="inlineStr">
        <is>
          <t>SCA</t>
        </is>
      </c>
      <c r="I239" t="n">
        <v>16.6</v>
      </c>
      <c r="J239" t="n">
        <v>0</v>
      </c>
      <c r="K239" t="n">
        <v>0</v>
      </c>
      <c r="L239" t="n">
        <v>0</v>
      </c>
      <c r="M239" t="n">
        <v>0</v>
      </c>
      <c r="N239" t="n">
        <v>0</v>
      </c>
      <c r="O239" t="n">
        <v>0</v>
      </c>
      <c r="P239" t="n">
        <v>0</v>
      </c>
      <c r="Q239" t="n">
        <v>0</v>
      </c>
      <c r="R239" t="n">
        <v>0</v>
      </c>
      <c r="S239" t="n">
        <v>0</v>
      </c>
      <c r="T239" t="n">
        <v>0</v>
      </c>
      <c r="U239" s="2" t="inlineStr"/>
    </row>
    <row r="240" ht="15" customHeight="1">
      <c r="A240" t="inlineStr">
        <is>
          <t>A 54769-2021</t>
        </is>
      </c>
      <c r="B240" t="inlineStr">
        <is>
          <t>avverkningsanmälan</t>
        </is>
      </c>
      <c r="C240" t="inlineStr">
        <is>
          <t>Föryngringsavverkning</t>
        </is>
      </c>
      <c r="D240" s="1" t="n">
        <v>44473</v>
      </c>
      <c r="E240" s="1" t="n">
        <v>46220</v>
      </c>
      <c r="F240" t="inlineStr">
        <is>
          <t>VÄSTERBOTTENS LÄN</t>
        </is>
      </c>
      <c r="G240" t="inlineStr">
        <is>
          <t>SORSELE</t>
        </is>
      </c>
      <c r="H240" t="inlineStr">
        <is>
          <t>SCA</t>
        </is>
      </c>
      <c r="I240" t="n">
        <v>15.8</v>
      </c>
      <c r="J240" t="n">
        <v>0</v>
      </c>
      <c r="K240" t="n">
        <v>0</v>
      </c>
      <c r="L240" t="n">
        <v>0</v>
      </c>
      <c r="M240" t="n">
        <v>0</v>
      </c>
      <c r="N240" t="n">
        <v>0</v>
      </c>
      <c r="O240" t="n">
        <v>0</v>
      </c>
      <c r="P240" t="n">
        <v>0</v>
      </c>
      <c r="Q240" t="n">
        <v>0</v>
      </c>
      <c r="R240" t="n">
        <v>0</v>
      </c>
      <c r="S240" t="n">
        <v>0</v>
      </c>
      <c r="T240" t="n">
        <v>0</v>
      </c>
      <c r="U240" s="2" t="inlineStr"/>
    </row>
    <row r="241" ht="15" customHeight="1">
      <c r="A241" t="inlineStr">
        <is>
          <t>A 18808-2026</t>
        </is>
      </c>
      <c r="B241" t="inlineStr">
        <is>
          <t>avverkningsanmälan</t>
        </is>
      </c>
      <c r="C241" t="inlineStr">
        <is>
          <t>Föryngringsavverkning</t>
        </is>
      </c>
      <c r="D241" s="1" t="n">
        <v>46128</v>
      </c>
      <c r="E241" s="1" t="n">
        <v>46220</v>
      </c>
      <c r="F241" t="inlineStr">
        <is>
          <t>VÄSTERBOTTENS LÄN</t>
        </is>
      </c>
      <c r="G241" t="inlineStr">
        <is>
          <t>SORSELE</t>
        </is>
      </c>
      <c r="H241" t="inlineStr">
        <is>
          <t>SCA</t>
        </is>
      </c>
      <c r="I241" t="n">
        <v>5.2</v>
      </c>
      <c r="J241" t="n">
        <v>0</v>
      </c>
      <c r="K241" t="n">
        <v>0</v>
      </c>
      <c r="L241" t="n">
        <v>0</v>
      </c>
      <c r="M241" t="n">
        <v>0</v>
      </c>
      <c r="N241" t="n">
        <v>0</v>
      </c>
      <c r="O241" t="n">
        <v>0</v>
      </c>
      <c r="P241" t="n">
        <v>0</v>
      </c>
      <c r="Q241" t="n">
        <v>0</v>
      </c>
      <c r="R241" t="n">
        <v>0</v>
      </c>
      <c r="S241" t="n">
        <v>0</v>
      </c>
      <c r="T241" t="n">
        <v>0</v>
      </c>
      <c r="U241" s="2" t="inlineStr"/>
    </row>
    <row r="242" ht="15" customHeight="1">
      <c r="A242" t="inlineStr">
        <is>
          <t>A 18851-2026</t>
        </is>
      </c>
      <c r="B242" t="inlineStr">
        <is>
          <t>avverkningsanmälan</t>
        </is>
      </c>
      <c r="C242" t="inlineStr">
        <is>
          <t>Föryngringsavverkning</t>
        </is>
      </c>
      <c r="D242" s="1" t="n">
        <v>46129</v>
      </c>
      <c r="E242" s="1" t="n">
        <v>46220</v>
      </c>
      <c r="F242" t="inlineStr">
        <is>
          <t>VÄSTERBOTTENS LÄN</t>
        </is>
      </c>
      <c r="G242" t="inlineStr">
        <is>
          <t>SORSELE</t>
        </is>
      </c>
      <c r="H242" t="inlineStr">
        <is>
          <t>SCA</t>
        </is>
      </c>
      <c r="I242" t="n">
        <v>3.6</v>
      </c>
      <c r="J242" t="n">
        <v>0</v>
      </c>
      <c r="K242" t="n">
        <v>0</v>
      </c>
      <c r="L242" t="n">
        <v>0</v>
      </c>
      <c r="M242" t="n">
        <v>0</v>
      </c>
      <c r="N242" t="n">
        <v>0</v>
      </c>
      <c r="O242" t="n">
        <v>0</v>
      </c>
      <c r="P242" t="n">
        <v>0</v>
      </c>
      <c r="Q242" t="n">
        <v>0</v>
      </c>
      <c r="R242" t="n">
        <v>0</v>
      </c>
      <c r="S242" t="n">
        <v>0</v>
      </c>
      <c r="T242" t="n">
        <v>0</v>
      </c>
      <c r="U242" s="2" t="inlineStr"/>
    </row>
    <row r="243" ht="15" customHeight="1">
      <c r="A243" t="inlineStr">
        <is>
          <t>A 19454-2026</t>
        </is>
      </c>
      <c r="B243" t="inlineStr">
        <is>
          <t>avverkningsanmälan</t>
        </is>
      </c>
      <c r="C243" t="inlineStr">
        <is>
          <t>Föryngringsavverkning</t>
        </is>
      </c>
      <c r="D243" s="1" t="n">
        <v>46129</v>
      </c>
      <c r="E243" s="1" t="n">
        <v>46220</v>
      </c>
      <c r="F243" t="inlineStr">
        <is>
          <t>VÄSTERBOTTENS LÄN</t>
        </is>
      </c>
      <c r="G243" t="inlineStr">
        <is>
          <t>SORSELE</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36853-2023</t>
        </is>
      </c>
      <c r="B244" t="inlineStr">
        <is>
          <t>avverkningsanmälan</t>
        </is>
      </c>
      <c r="C244" t="inlineStr">
        <is>
          <t>Avverkning för att bevara och utveckla /försöksver</t>
        </is>
      </c>
      <c r="D244" s="1" t="n">
        <v>45154</v>
      </c>
      <c r="E244" s="1" t="n">
        <v>46220</v>
      </c>
      <c r="F244" t="inlineStr">
        <is>
          <t>VÄSTERBOTTENS LÄN</t>
        </is>
      </c>
      <c r="G244" t="inlineStr">
        <is>
          <t>SORSELE</t>
        </is>
      </c>
      <c r="I244" t="n">
        <v>16.9</v>
      </c>
      <c r="J244" t="n">
        <v>0</v>
      </c>
      <c r="K244" t="n">
        <v>0</v>
      </c>
      <c r="L244" t="n">
        <v>0</v>
      </c>
      <c r="M244" t="n">
        <v>0</v>
      </c>
      <c r="N244" t="n">
        <v>0</v>
      </c>
      <c r="O244" t="n">
        <v>0</v>
      </c>
      <c r="P244" t="n">
        <v>0</v>
      </c>
      <c r="Q244" t="n">
        <v>0</v>
      </c>
      <c r="R244" t="n">
        <v>0</v>
      </c>
      <c r="S244" t="n">
        <v>0</v>
      </c>
      <c r="T244" t="n">
        <v>0</v>
      </c>
      <c r="U244" s="2" t="inlineStr"/>
    </row>
    <row r="245" ht="15" customHeight="1">
      <c r="A245" t="inlineStr">
        <is>
          <t>A 18816-2026</t>
        </is>
      </c>
      <c r="B245" t="inlineStr">
        <is>
          <t>avverkningsanmälan</t>
        </is>
      </c>
      <c r="C245" t="inlineStr">
        <is>
          <t>Föryngringsavverkning</t>
        </is>
      </c>
      <c r="D245" s="1" t="n">
        <v>46128</v>
      </c>
      <c r="E245" s="1" t="n">
        <v>46220</v>
      </c>
      <c r="F245" t="inlineStr">
        <is>
          <t>VÄSTERBOTTENS LÄN</t>
        </is>
      </c>
      <c r="G245" t="inlineStr">
        <is>
          <t>SORSELE</t>
        </is>
      </c>
      <c r="H245" t="inlineStr">
        <is>
          <t>SCA</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72886-2021</t>
        </is>
      </c>
      <c r="B246" t="inlineStr">
        <is>
          <t>avverkningsanmälan</t>
        </is>
      </c>
      <c r="C246" t="inlineStr">
        <is>
          <t>Föryngringsavverkning</t>
        </is>
      </c>
      <c r="D246" s="1" t="n">
        <v>44546</v>
      </c>
      <c r="E246" s="1" t="n">
        <v>46220</v>
      </c>
      <c r="F246" t="inlineStr">
        <is>
          <t>VÄSTERBOTTENS LÄN</t>
        </is>
      </c>
      <c r="G246" t="inlineStr">
        <is>
          <t>SORSELE</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51361-2022</t>
        </is>
      </c>
      <c r="B247" t="inlineStr">
        <is>
          <t>avverkningsanmälan</t>
        </is>
      </c>
      <c r="C247" t="inlineStr">
        <is>
          <t>Föryngringsavverkning</t>
        </is>
      </c>
      <c r="D247" s="1" t="n">
        <v>44866</v>
      </c>
      <c r="E247" s="1" t="n">
        <v>46220</v>
      </c>
      <c r="F247" t="inlineStr">
        <is>
          <t>VÄSTERBOTTENS LÄN</t>
        </is>
      </c>
      <c r="G247" t="inlineStr">
        <is>
          <t>SORSELE</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25824-2026</t>
        </is>
      </c>
      <c r="B248" t="inlineStr">
        <is>
          <t>avverkningsanmälan</t>
        </is>
      </c>
      <c r="C248" t="inlineStr">
        <is>
          <t>Föryngringsavverkning</t>
        </is>
      </c>
      <c r="D248" s="1" t="n">
        <v>46178</v>
      </c>
      <c r="E248" s="1" t="n">
        <v>46220</v>
      </c>
      <c r="F248" t="inlineStr">
        <is>
          <t>VÄSTERBOTTENS LÄN</t>
        </is>
      </c>
      <c r="G248" t="inlineStr">
        <is>
          <t>SORSELE</t>
        </is>
      </c>
      <c r="H248" t="inlineStr">
        <is>
          <t>SCA</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6719-2025</t>
        </is>
      </c>
      <c r="B249" t="inlineStr">
        <is>
          <t>avverkningsanmälan</t>
        </is>
      </c>
      <c r="C249" t="inlineStr">
        <is>
          <t>Föryngringsavverkning</t>
        </is>
      </c>
      <c r="D249" s="1" t="n">
        <v>45700</v>
      </c>
      <c r="E249" s="1" t="n">
        <v>46220</v>
      </c>
      <c r="F249" t="inlineStr">
        <is>
          <t>VÄSTERBOTTENS LÄN</t>
        </is>
      </c>
      <c r="G249" t="inlineStr">
        <is>
          <t>SORSELE</t>
        </is>
      </c>
      <c r="I249" t="n">
        <v>9.4</v>
      </c>
      <c r="J249" t="n">
        <v>0</v>
      </c>
      <c r="K249" t="n">
        <v>0</v>
      </c>
      <c r="L249" t="n">
        <v>0</v>
      </c>
      <c r="M249" t="n">
        <v>0</v>
      </c>
      <c r="N249" t="n">
        <v>0</v>
      </c>
      <c r="O249" t="n">
        <v>0</v>
      </c>
      <c r="P249" t="n">
        <v>0</v>
      </c>
      <c r="Q249" t="n">
        <v>0</v>
      </c>
      <c r="R249" t="n">
        <v>0</v>
      </c>
      <c r="S249" t="n">
        <v>0</v>
      </c>
      <c r="T249" t="n">
        <v>0</v>
      </c>
      <c r="U249" s="2" t="inlineStr"/>
    </row>
    <row r="250" ht="15" customHeight="1">
      <c r="A250" t="inlineStr">
        <is>
          <t>A 25745-2026</t>
        </is>
      </c>
      <c r="B250" t="inlineStr">
        <is>
          <t>avverkningsanmälan</t>
        </is>
      </c>
      <c r="C250" t="inlineStr">
        <is>
          <t>Föryngringsavverkning</t>
        </is>
      </c>
      <c r="D250" s="1" t="n">
        <v>46178</v>
      </c>
      <c r="E250" s="1" t="n">
        <v>46220</v>
      </c>
      <c r="F250" t="inlineStr">
        <is>
          <t>VÄSTERBOTTENS LÄN</t>
        </is>
      </c>
      <c r="G250" t="inlineStr">
        <is>
          <t>SORSELE</t>
        </is>
      </c>
      <c r="H250" t="inlineStr">
        <is>
          <t>SCA</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10753-2025</t>
        </is>
      </c>
      <c r="B251" t="inlineStr">
        <is>
          <t>avverkningsanmälan</t>
        </is>
      </c>
      <c r="C251" t="inlineStr">
        <is>
          <t>Föryngringsavverkning</t>
        </is>
      </c>
      <c r="D251" s="1" t="n">
        <v>45722</v>
      </c>
      <c r="E251" s="1" t="n">
        <v>46220</v>
      </c>
      <c r="F251" t="inlineStr">
        <is>
          <t>VÄSTERBOTTENS LÄN</t>
        </is>
      </c>
      <c r="G251" t="inlineStr">
        <is>
          <t>SORSELE</t>
        </is>
      </c>
      <c r="H251" t="inlineStr">
        <is>
          <t>SCA</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25741-2026</t>
        </is>
      </c>
      <c r="B252" t="inlineStr">
        <is>
          <t>avverkningsanmälan</t>
        </is>
      </c>
      <c r="C252" t="inlineStr">
        <is>
          <t>Föryngringsavverkning</t>
        </is>
      </c>
      <c r="D252" s="1" t="n">
        <v>46178</v>
      </c>
      <c r="E252" s="1" t="n">
        <v>46220</v>
      </c>
      <c r="F252" t="inlineStr">
        <is>
          <t>VÄSTERBOTTENS LÄN</t>
        </is>
      </c>
      <c r="G252" t="inlineStr">
        <is>
          <t>SORSELE</t>
        </is>
      </c>
      <c r="H252" t="inlineStr">
        <is>
          <t>SCA</t>
        </is>
      </c>
      <c r="I252" t="n">
        <v>10.2</v>
      </c>
      <c r="J252" t="n">
        <v>0</v>
      </c>
      <c r="K252" t="n">
        <v>0</v>
      </c>
      <c r="L252" t="n">
        <v>0</v>
      </c>
      <c r="M252" t="n">
        <v>0</v>
      </c>
      <c r="N252" t="n">
        <v>0</v>
      </c>
      <c r="O252" t="n">
        <v>0</v>
      </c>
      <c r="P252" t="n">
        <v>0</v>
      </c>
      <c r="Q252" t="n">
        <v>0</v>
      </c>
      <c r="R252" t="n">
        <v>0</v>
      </c>
      <c r="S252" t="n">
        <v>0</v>
      </c>
      <c r="T252" t="n">
        <v>0</v>
      </c>
      <c r="U252" s="2" t="inlineStr"/>
    </row>
    <row r="253" ht="15" customHeight="1">
      <c r="A253" t="inlineStr">
        <is>
          <t>A 6228-2025</t>
        </is>
      </c>
      <c r="B253" t="inlineStr">
        <is>
          <t>avverkningsanmälan</t>
        </is>
      </c>
      <c r="C253" t="inlineStr">
        <is>
          <t>Föryngringsavverkning</t>
        </is>
      </c>
      <c r="D253" s="1" t="n">
        <v>45697</v>
      </c>
      <c r="E253" s="1" t="n">
        <v>46220</v>
      </c>
      <c r="F253" t="inlineStr">
        <is>
          <t>VÄSTERBOTTENS LÄN</t>
        </is>
      </c>
      <c r="G253" t="inlineStr">
        <is>
          <t>SORSELE</t>
        </is>
      </c>
      <c r="I253" t="n">
        <v>5.8</v>
      </c>
      <c r="J253" t="n">
        <v>0</v>
      </c>
      <c r="K253" t="n">
        <v>0</v>
      </c>
      <c r="L253" t="n">
        <v>0</v>
      </c>
      <c r="M253" t="n">
        <v>0</v>
      </c>
      <c r="N253" t="n">
        <v>0</v>
      </c>
      <c r="O253" t="n">
        <v>0</v>
      </c>
      <c r="P253" t="n">
        <v>0</v>
      </c>
      <c r="Q253" t="n">
        <v>0</v>
      </c>
      <c r="R253" t="n">
        <v>0</v>
      </c>
      <c r="S253" t="n">
        <v>0</v>
      </c>
      <c r="T253" t="n">
        <v>0</v>
      </c>
      <c r="U253" s="2" t="inlineStr"/>
    </row>
    <row r="254" ht="15" customHeight="1">
      <c r="A254" t="inlineStr">
        <is>
          <t>A 35172-2022</t>
        </is>
      </c>
      <c r="B254" t="inlineStr">
        <is>
          <t>avverkningsanmälan</t>
        </is>
      </c>
      <c r="C254" t="inlineStr">
        <is>
          <t>Föryngringsavverkning</t>
        </is>
      </c>
      <c r="D254" s="1" t="n">
        <v>44797</v>
      </c>
      <c r="E254" s="1" t="n">
        <v>46220</v>
      </c>
      <c r="F254" t="inlineStr">
        <is>
          <t>VÄSTERBOTTENS LÄN</t>
        </is>
      </c>
      <c r="G254" t="inlineStr">
        <is>
          <t>SORSELE</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23234-2022</t>
        </is>
      </c>
      <c r="B255" t="inlineStr">
        <is>
          <t>avverkningsanmälan</t>
        </is>
      </c>
      <c r="C255" t="inlineStr">
        <is>
          <t>Föryngringsavverkning</t>
        </is>
      </c>
      <c r="D255" s="1" t="n">
        <v>44719</v>
      </c>
      <c r="E255" s="1" t="n">
        <v>46220</v>
      </c>
      <c r="F255" t="inlineStr">
        <is>
          <t>VÄSTERBOTTENS LÄN</t>
        </is>
      </c>
      <c r="G255" t="inlineStr">
        <is>
          <t>SORSELE</t>
        </is>
      </c>
      <c r="I255" t="n">
        <v>19.3</v>
      </c>
      <c r="J255" t="n">
        <v>0</v>
      </c>
      <c r="K255" t="n">
        <v>0</v>
      </c>
      <c r="L255" t="n">
        <v>0</v>
      </c>
      <c r="M255" t="n">
        <v>0</v>
      </c>
      <c r="N255" t="n">
        <v>0</v>
      </c>
      <c r="O255" t="n">
        <v>0</v>
      </c>
      <c r="P255" t="n">
        <v>0</v>
      </c>
      <c r="Q255" t="n">
        <v>0</v>
      </c>
      <c r="R255" t="n">
        <v>0</v>
      </c>
      <c r="S255" t="n">
        <v>0</v>
      </c>
      <c r="T255" t="n">
        <v>0</v>
      </c>
      <c r="U255" s="2" t="inlineStr"/>
    </row>
    <row r="256" ht="15" customHeight="1">
      <c r="A256" t="inlineStr">
        <is>
          <t>A 25744-2026</t>
        </is>
      </c>
      <c r="B256" t="inlineStr">
        <is>
          <t>avverkningsanmälan</t>
        </is>
      </c>
      <c r="C256" t="inlineStr">
        <is>
          <t>Föryngringsavverkning</t>
        </is>
      </c>
      <c r="D256" s="1" t="n">
        <v>46178</v>
      </c>
      <c r="E256" s="1" t="n">
        <v>46220</v>
      </c>
      <c r="F256" t="inlineStr">
        <is>
          <t>VÄSTERBOTTENS LÄN</t>
        </is>
      </c>
      <c r="G256" t="inlineStr">
        <is>
          <t>SORSELE</t>
        </is>
      </c>
      <c r="H256" t="inlineStr">
        <is>
          <t>SCA</t>
        </is>
      </c>
      <c r="I256" t="n">
        <v>7</v>
      </c>
      <c r="J256" t="n">
        <v>0</v>
      </c>
      <c r="K256" t="n">
        <v>0</v>
      </c>
      <c r="L256" t="n">
        <v>0</v>
      </c>
      <c r="M256" t="n">
        <v>0</v>
      </c>
      <c r="N256" t="n">
        <v>0</v>
      </c>
      <c r="O256" t="n">
        <v>0</v>
      </c>
      <c r="P256" t="n">
        <v>0</v>
      </c>
      <c r="Q256" t="n">
        <v>0</v>
      </c>
      <c r="R256" t="n">
        <v>0</v>
      </c>
      <c r="S256" t="n">
        <v>0</v>
      </c>
      <c r="T256" t="n">
        <v>0</v>
      </c>
      <c r="U256" s="2" t="inlineStr"/>
    </row>
    <row r="257" ht="15" customHeight="1">
      <c r="A257" t="inlineStr">
        <is>
          <t>A 51437-2023</t>
        </is>
      </c>
      <c r="B257" t="inlineStr">
        <is>
          <t>avverkningsanmälan</t>
        </is>
      </c>
      <c r="C257" t="inlineStr">
        <is>
          <t>Föryngringsavverkning</t>
        </is>
      </c>
      <c r="D257" s="1" t="n">
        <v>45219</v>
      </c>
      <c r="E257" s="1" t="n">
        <v>46220</v>
      </c>
      <c r="F257" t="inlineStr">
        <is>
          <t>VÄSTERBOTTENS LÄN</t>
        </is>
      </c>
      <c r="G257" t="inlineStr">
        <is>
          <t>SORSELE</t>
        </is>
      </c>
      <c r="H257" t="inlineStr">
        <is>
          <t>SCA</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52621-2022</t>
        </is>
      </c>
      <c r="B258" t="inlineStr">
        <is>
          <t>avverkningsanmälan</t>
        </is>
      </c>
      <c r="C258" t="inlineStr">
        <is>
          <t>Föryngringsavverkning</t>
        </is>
      </c>
      <c r="D258" s="1" t="n">
        <v>44869</v>
      </c>
      <c r="E258" s="1" t="n">
        <v>46220</v>
      </c>
      <c r="F258" t="inlineStr">
        <is>
          <t>VÄSTERBOTTENS LÄN</t>
        </is>
      </c>
      <c r="G258" t="inlineStr">
        <is>
          <t>SORSELE</t>
        </is>
      </c>
      <c r="H258" t="inlineStr">
        <is>
          <t>Allmännings- och besparingsskogar</t>
        </is>
      </c>
      <c r="I258" t="n">
        <v>17.3</v>
      </c>
      <c r="J258" t="n">
        <v>0</v>
      </c>
      <c r="K258" t="n">
        <v>0</v>
      </c>
      <c r="L258" t="n">
        <v>0</v>
      </c>
      <c r="M258" t="n">
        <v>0</v>
      </c>
      <c r="N258" t="n">
        <v>0</v>
      </c>
      <c r="O258" t="n">
        <v>0</v>
      </c>
      <c r="P258" t="n">
        <v>0</v>
      </c>
      <c r="Q258" t="n">
        <v>0</v>
      </c>
      <c r="R258" t="n">
        <v>0</v>
      </c>
      <c r="S258" t="n">
        <v>0</v>
      </c>
      <c r="T258" t="n">
        <v>0</v>
      </c>
      <c r="U258" s="2" t="inlineStr"/>
    </row>
    <row r="259" ht="15" customHeight="1">
      <c r="A259" t="inlineStr">
        <is>
          <t>A 45560-2022</t>
        </is>
      </c>
      <c r="B259" t="inlineStr">
        <is>
          <t>avverkningsanmälan</t>
        </is>
      </c>
      <c r="C259" t="inlineStr">
        <is>
          <t>Föryngringsavverkning</t>
        </is>
      </c>
      <c r="D259" s="1" t="n">
        <v>44841</v>
      </c>
      <c r="E259" s="1" t="n">
        <v>46220</v>
      </c>
      <c r="F259" t="inlineStr">
        <is>
          <t>VÄSTERBOTTENS LÄN</t>
        </is>
      </c>
      <c r="G259" t="inlineStr">
        <is>
          <t>SORSELE</t>
        </is>
      </c>
      <c r="I259" t="n">
        <v>26.2</v>
      </c>
      <c r="J259" t="n">
        <v>0</v>
      </c>
      <c r="K259" t="n">
        <v>0</v>
      </c>
      <c r="L259" t="n">
        <v>0</v>
      </c>
      <c r="M259" t="n">
        <v>0</v>
      </c>
      <c r="N259" t="n">
        <v>0</v>
      </c>
      <c r="O259" t="n">
        <v>0</v>
      </c>
      <c r="P259" t="n">
        <v>0</v>
      </c>
      <c r="Q259" t="n">
        <v>0</v>
      </c>
      <c r="R259" t="n">
        <v>0</v>
      </c>
      <c r="S259" t="n">
        <v>0</v>
      </c>
      <c r="T259" t="n">
        <v>0</v>
      </c>
      <c r="U259" s="2" t="inlineStr"/>
    </row>
    <row r="260" ht="15" customHeight="1">
      <c r="A260" t="inlineStr">
        <is>
          <t>A 25761-2026</t>
        </is>
      </c>
      <c r="B260" t="inlineStr">
        <is>
          <t>avverkningsanmälan</t>
        </is>
      </c>
      <c r="C260" t="inlineStr">
        <is>
          <t>Föryngringsavverkning</t>
        </is>
      </c>
      <c r="D260" s="1" t="n">
        <v>46178</v>
      </c>
      <c r="E260" s="1" t="n">
        <v>46220</v>
      </c>
      <c r="F260" t="inlineStr">
        <is>
          <t>VÄSTERBOTTENS LÄN</t>
        </is>
      </c>
      <c r="G260" t="inlineStr">
        <is>
          <t>SORSELE</t>
        </is>
      </c>
      <c r="H260" t="inlineStr">
        <is>
          <t>SCA</t>
        </is>
      </c>
      <c r="I260" t="n">
        <v>3.9</v>
      </c>
      <c r="J260" t="n">
        <v>0</v>
      </c>
      <c r="K260" t="n">
        <v>0</v>
      </c>
      <c r="L260" t="n">
        <v>0</v>
      </c>
      <c r="M260" t="n">
        <v>0</v>
      </c>
      <c r="N260" t="n">
        <v>0</v>
      </c>
      <c r="O260" t="n">
        <v>0</v>
      </c>
      <c r="P260" t="n">
        <v>0</v>
      </c>
      <c r="Q260" t="n">
        <v>0</v>
      </c>
      <c r="R260" t="n">
        <v>0</v>
      </c>
      <c r="S260" t="n">
        <v>0</v>
      </c>
      <c r="T260" t="n">
        <v>0</v>
      </c>
      <c r="U260" s="2" t="inlineStr"/>
    </row>
    <row r="261" ht="15" customHeight="1">
      <c r="A261" t="inlineStr">
        <is>
          <t>A 61792-2022</t>
        </is>
      </c>
      <c r="B261" t="inlineStr">
        <is>
          <t>avverkningsanmälan</t>
        </is>
      </c>
      <c r="C261" t="inlineStr">
        <is>
          <t>Föryngringsavverkning</t>
        </is>
      </c>
      <c r="D261" s="1" t="n">
        <v>44917</v>
      </c>
      <c r="E261" s="1" t="n">
        <v>46220</v>
      </c>
      <c r="F261" t="inlineStr">
        <is>
          <t>VÄSTERBOTTENS LÄN</t>
        </is>
      </c>
      <c r="G261" t="inlineStr">
        <is>
          <t>SORSELE</t>
        </is>
      </c>
      <c r="H261" t="inlineStr">
        <is>
          <t>Sveaskog</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30417-2024</t>
        </is>
      </c>
      <c r="B262" t="inlineStr">
        <is>
          <t>avverkningsanmälan</t>
        </is>
      </c>
      <c r="C262" t="inlineStr">
        <is>
          <t>Föryngringsavverkning</t>
        </is>
      </c>
      <c r="D262" s="1" t="n">
        <v>45491</v>
      </c>
      <c r="E262" s="1" t="n">
        <v>46220</v>
      </c>
      <c r="F262" t="inlineStr">
        <is>
          <t>VÄSTERBOTTENS LÄN</t>
        </is>
      </c>
      <c r="G262" t="inlineStr">
        <is>
          <t>SORSELE</t>
        </is>
      </c>
      <c r="H262" t="inlineStr">
        <is>
          <t>Sveaskog</t>
        </is>
      </c>
      <c r="I262" t="n">
        <v>13.2</v>
      </c>
      <c r="J262" t="n">
        <v>0</v>
      </c>
      <c r="K262" t="n">
        <v>0</v>
      </c>
      <c r="L262" t="n">
        <v>0</v>
      </c>
      <c r="M262" t="n">
        <v>0</v>
      </c>
      <c r="N262" t="n">
        <v>0</v>
      </c>
      <c r="O262" t="n">
        <v>0</v>
      </c>
      <c r="P262" t="n">
        <v>0</v>
      </c>
      <c r="Q262" t="n">
        <v>0</v>
      </c>
      <c r="R262" t="n">
        <v>0</v>
      </c>
      <c r="S262" t="n">
        <v>0</v>
      </c>
      <c r="T262" t="n">
        <v>0</v>
      </c>
      <c r="U262" s="2" t="inlineStr"/>
    </row>
    <row r="263" ht="15" customHeight="1">
      <c r="A263" t="inlineStr">
        <is>
          <t>A 17863-2025</t>
        </is>
      </c>
      <c r="B263" t="inlineStr">
        <is>
          <t>avverkningsanmälan</t>
        </is>
      </c>
      <c r="C263" t="inlineStr">
        <is>
          <t>Föryngringsavverkning</t>
        </is>
      </c>
      <c r="D263" s="1" t="n">
        <v>45758</v>
      </c>
      <c r="E263" s="1" t="n">
        <v>46220</v>
      </c>
      <c r="F263" t="inlineStr">
        <is>
          <t>VÄSTERBOTTENS LÄN</t>
        </is>
      </c>
      <c r="G263" t="inlineStr">
        <is>
          <t>SORSELE</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37256-2023</t>
        </is>
      </c>
      <c r="B264" t="inlineStr">
        <is>
          <t>avverkningsanmälan</t>
        </is>
      </c>
      <c r="C264" t="inlineStr">
        <is>
          <t>Föryngringsavverkning</t>
        </is>
      </c>
      <c r="D264" s="1" t="n">
        <v>45155</v>
      </c>
      <c r="E264" s="1" t="n">
        <v>46220</v>
      </c>
      <c r="F264" t="inlineStr">
        <is>
          <t>VÄSTERBOTTENS LÄN</t>
        </is>
      </c>
      <c r="G264" t="inlineStr">
        <is>
          <t>SORSELE</t>
        </is>
      </c>
      <c r="H264" t="inlineStr">
        <is>
          <t>SCA</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61554-2022</t>
        </is>
      </c>
      <c r="B265" t="inlineStr">
        <is>
          <t>avverkningsanmälan</t>
        </is>
      </c>
      <c r="C265" t="inlineStr">
        <is>
          <t>Föryngringsavverkning</t>
        </is>
      </c>
      <c r="D265" s="1" t="n">
        <v>44916</v>
      </c>
      <c r="E265" s="1" t="n">
        <v>46220</v>
      </c>
      <c r="F265" t="inlineStr">
        <is>
          <t>VÄSTERBOTTENS LÄN</t>
        </is>
      </c>
      <c r="G265" t="inlineStr">
        <is>
          <t>SORSELE</t>
        </is>
      </c>
      <c r="H265" t="inlineStr">
        <is>
          <t>Sveaskog</t>
        </is>
      </c>
      <c r="I265" t="n">
        <v>32.6</v>
      </c>
      <c r="J265" t="n">
        <v>0</v>
      </c>
      <c r="K265" t="n">
        <v>0</v>
      </c>
      <c r="L265" t="n">
        <v>0</v>
      </c>
      <c r="M265" t="n">
        <v>0</v>
      </c>
      <c r="N265" t="n">
        <v>0</v>
      </c>
      <c r="O265" t="n">
        <v>0</v>
      </c>
      <c r="P265" t="n">
        <v>0</v>
      </c>
      <c r="Q265" t="n">
        <v>0</v>
      </c>
      <c r="R265" t="n">
        <v>0</v>
      </c>
      <c r="S265" t="n">
        <v>0</v>
      </c>
      <c r="T265" t="n">
        <v>0</v>
      </c>
      <c r="U265" s="2" t="inlineStr"/>
    </row>
    <row r="266" ht="15" customHeight="1">
      <c r="A266" t="inlineStr">
        <is>
          <t>A 17869-2025</t>
        </is>
      </c>
      <c r="B266" t="inlineStr">
        <is>
          <t>avverkningsanmälan</t>
        </is>
      </c>
      <c r="C266" t="inlineStr">
        <is>
          <t>Föryngringsavverkning</t>
        </is>
      </c>
      <c r="D266" s="1" t="n">
        <v>45758</v>
      </c>
      <c r="E266" s="1" t="n">
        <v>46220</v>
      </c>
      <c r="F266" t="inlineStr">
        <is>
          <t>VÄSTERBOTTENS LÄN</t>
        </is>
      </c>
      <c r="G266" t="inlineStr">
        <is>
          <t>SORSELE</t>
        </is>
      </c>
      <c r="I266" t="n">
        <v>13.5</v>
      </c>
      <c r="J266" t="n">
        <v>0</v>
      </c>
      <c r="K266" t="n">
        <v>0</v>
      </c>
      <c r="L266" t="n">
        <v>0</v>
      </c>
      <c r="M266" t="n">
        <v>0</v>
      </c>
      <c r="N266" t="n">
        <v>0</v>
      </c>
      <c r="O266" t="n">
        <v>0</v>
      </c>
      <c r="P266" t="n">
        <v>0</v>
      </c>
      <c r="Q266" t="n">
        <v>0</v>
      </c>
      <c r="R266" t="n">
        <v>0</v>
      </c>
      <c r="S266" t="n">
        <v>0</v>
      </c>
      <c r="T266" t="n">
        <v>0</v>
      </c>
      <c r="U266" s="2" t="inlineStr"/>
    </row>
    <row r="267" ht="15" customHeight="1">
      <c r="A267" t="inlineStr">
        <is>
          <t>A 11675-2023</t>
        </is>
      </c>
      <c r="B267" t="inlineStr">
        <is>
          <t>avverkningsanmälan</t>
        </is>
      </c>
      <c r="C267" t="inlineStr">
        <is>
          <t>Föryngringsavverkning</t>
        </is>
      </c>
      <c r="D267" s="1" t="n">
        <v>44994</v>
      </c>
      <c r="E267" s="1" t="n">
        <v>46220</v>
      </c>
      <c r="F267" t="inlineStr">
        <is>
          <t>VÄSTERBOTTENS LÄN</t>
        </is>
      </c>
      <c r="G267" t="inlineStr">
        <is>
          <t>SORSELE</t>
        </is>
      </c>
      <c r="I267" t="n">
        <v>8.699999999999999</v>
      </c>
      <c r="J267" t="n">
        <v>0</v>
      </c>
      <c r="K267" t="n">
        <v>0</v>
      </c>
      <c r="L267" t="n">
        <v>0</v>
      </c>
      <c r="M267" t="n">
        <v>0</v>
      </c>
      <c r="N267" t="n">
        <v>0</v>
      </c>
      <c r="O267" t="n">
        <v>0</v>
      </c>
      <c r="P267" t="n">
        <v>0</v>
      </c>
      <c r="Q267" t="n">
        <v>0</v>
      </c>
      <c r="R267" t="n">
        <v>0</v>
      </c>
      <c r="S267" t="n">
        <v>0</v>
      </c>
      <c r="T267" t="n">
        <v>0</v>
      </c>
      <c r="U267" s="2" t="inlineStr"/>
    </row>
    <row r="268" ht="15" customHeight="1">
      <c r="A268" t="inlineStr">
        <is>
          <t>A 71517-2021</t>
        </is>
      </c>
      <c r="B268" t="inlineStr">
        <is>
          <t>avverkningsanmälan</t>
        </is>
      </c>
      <c r="C268" t="inlineStr">
        <is>
          <t>Föryngringsavverkning</t>
        </is>
      </c>
      <c r="D268" s="1" t="n">
        <v>44538</v>
      </c>
      <c r="E268" s="1" t="n">
        <v>46220</v>
      </c>
      <c r="F268" t="inlineStr">
        <is>
          <t>VÄSTERBOTTENS LÄN</t>
        </is>
      </c>
      <c r="G268" t="inlineStr">
        <is>
          <t>SORSELE</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9816-2023</t>
        </is>
      </c>
      <c r="B269" t="inlineStr">
        <is>
          <t>avverkningsanmälan</t>
        </is>
      </c>
      <c r="C269" t="inlineStr">
        <is>
          <t>Föryngringsavverkning</t>
        </is>
      </c>
      <c r="D269" s="1" t="n">
        <v>44978</v>
      </c>
      <c r="E269" s="1" t="n">
        <v>46220</v>
      </c>
      <c r="F269" t="inlineStr">
        <is>
          <t>VÄSTERBOTTENS LÄN</t>
        </is>
      </c>
      <c r="G269" t="inlineStr">
        <is>
          <t>SORSELE</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26954-2026</t>
        </is>
      </c>
      <c r="B270" t="inlineStr">
        <is>
          <t>avverkningsanmälan</t>
        </is>
      </c>
      <c r="C270" t="inlineStr">
        <is>
          <t>Föryngringsavverkning</t>
        </is>
      </c>
      <c r="D270" s="1" t="n">
        <v>46185</v>
      </c>
      <c r="E270" s="1" t="n">
        <v>46220</v>
      </c>
      <c r="F270" t="inlineStr">
        <is>
          <t>VÄSTERBOTTENS LÄN</t>
        </is>
      </c>
      <c r="G270" t="inlineStr">
        <is>
          <t>SORSELE</t>
        </is>
      </c>
      <c r="H270" t="inlineStr">
        <is>
          <t>Sveaskog</t>
        </is>
      </c>
      <c r="I270" t="n">
        <v>9</v>
      </c>
      <c r="J270" t="n">
        <v>0</v>
      </c>
      <c r="K270" t="n">
        <v>0</v>
      </c>
      <c r="L270" t="n">
        <v>0</v>
      </c>
      <c r="M270" t="n">
        <v>0</v>
      </c>
      <c r="N270" t="n">
        <v>0</v>
      </c>
      <c r="O270" t="n">
        <v>0</v>
      </c>
      <c r="P270" t="n">
        <v>0</v>
      </c>
      <c r="Q270" t="n">
        <v>0</v>
      </c>
      <c r="R270" t="n">
        <v>0</v>
      </c>
      <c r="S270" t="n">
        <v>0</v>
      </c>
      <c r="T270" t="n">
        <v>0</v>
      </c>
      <c r="U270" s="2" t="inlineStr"/>
    </row>
    <row r="271" ht="15" customHeight="1">
      <c r="A271" t="inlineStr">
        <is>
          <t>A 26979-2026</t>
        </is>
      </c>
      <c r="B271" t="inlineStr">
        <is>
          <t>avverkningsanmälan</t>
        </is>
      </c>
      <c r="C271" t="inlineStr">
        <is>
          <t>Föryngringsavverkning</t>
        </is>
      </c>
      <c r="D271" s="1" t="n">
        <v>46185</v>
      </c>
      <c r="E271" s="1" t="n">
        <v>46220</v>
      </c>
      <c r="F271" t="inlineStr">
        <is>
          <t>VÄSTERBOTTENS LÄN</t>
        </is>
      </c>
      <c r="G271" t="inlineStr">
        <is>
          <t>SORSELE</t>
        </is>
      </c>
      <c r="H271" t="inlineStr">
        <is>
          <t>Sveaskog</t>
        </is>
      </c>
      <c r="I271" t="n">
        <v>10.8</v>
      </c>
      <c r="J271" t="n">
        <v>0</v>
      </c>
      <c r="K271" t="n">
        <v>0</v>
      </c>
      <c r="L271" t="n">
        <v>0</v>
      </c>
      <c r="M271" t="n">
        <v>0</v>
      </c>
      <c r="N271" t="n">
        <v>0</v>
      </c>
      <c r="O271" t="n">
        <v>0</v>
      </c>
      <c r="P271" t="n">
        <v>0</v>
      </c>
      <c r="Q271" t="n">
        <v>0</v>
      </c>
      <c r="R271" t="n">
        <v>0</v>
      </c>
      <c r="S271" t="n">
        <v>0</v>
      </c>
      <c r="T271" t="n">
        <v>0</v>
      </c>
      <c r="U271" s="2" t="inlineStr"/>
    </row>
    <row r="272" ht="15" customHeight="1">
      <c r="A272" t="inlineStr">
        <is>
          <t>A 26974-2026</t>
        </is>
      </c>
      <c r="B272" t="inlineStr">
        <is>
          <t>avverkningsanmälan</t>
        </is>
      </c>
      <c r="C272" t="inlineStr">
        <is>
          <t>Föryngringsavverkning</t>
        </is>
      </c>
      <c r="D272" s="1" t="n">
        <v>46185</v>
      </c>
      <c r="E272" s="1" t="n">
        <v>46220</v>
      </c>
      <c r="F272" t="inlineStr">
        <is>
          <t>VÄSTERBOTTENS LÄN</t>
        </is>
      </c>
      <c r="G272" t="inlineStr">
        <is>
          <t>SORSELE</t>
        </is>
      </c>
      <c r="H272" t="inlineStr">
        <is>
          <t>Sveaskog</t>
        </is>
      </c>
      <c r="I272" t="n">
        <v>20.1</v>
      </c>
      <c r="J272" t="n">
        <v>0</v>
      </c>
      <c r="K272" t="n">
        <v>0</v>
      </c>
      <c r="L272" t="n">
        <v>0</v>
      </c>
      <c r="M272" t="n">
        <v>0</v>
      </c>
      <c r="N272" t="n">
        <v>0</v>
      </c>
      <c r="O272" t="n">
        <v>0</v>
      </c>
      <c r="P272" t="n">
        <v>0</v>
      </c>
      <c r="Q272" t="n">
        <v>0</v>
      </c>
      <c r="R272" t="n">
        <v>0</v>
      </c>
      <c r="S272" t="n">
        <v>0</v>
      </c>
      <c r="T272" t="n">
        <v>0</v>
      </c>
      <c r="U272" s="2" t="inlineStr"/>
    </row>
    <row r="273" ht="15" customHeight="1">
      <c r="A273" t="inlineStr">
        <is>
          <t>A 26985-2026</t>
        </is>
      </c>
      <c r="B273" t="inlineStr">
        <is>
          <t>avverkningsanmälan</t>
        </is>
      </c>
      <c r="C273" t="inlineStr">
        <is>
          <t>Föryngringsavverkning</t>
        </is>
      </c>
      <c r="D273" s="1" t="n">
        <v>46185</v>
      </c>
      <c r="E273" s="1" t="n">
        <v>46220</v>
      </c>
      <c r="F273" t="inlineStr">
        <is>
          <t>VÄSTERBOTTENS LÄN</t>
        </is>
      </c>
      <c r="G273" t="inlineStr">
        <is>
          <t>SORSELE</t>
        </is>
      </c>
      <c r="H273" t="inlineStr">
        <is>
          <t>Sveaskog</t>
        </is>
      </c>
      <c r="I273" t="n">
        <v>42.5</v>
      </c>
      <c r="J273" t="n">
        <v>0</v>
      </c>
      <c r="K273" t="n">
        <v>0</v>
      </c>
      <c r="L273" t="n">
        <v>0</v>
      </c>
      <c r="M273" t="n">
        <v>0</v>
      </c>
      <c r="N273" t="n">
        <v>0</v>
      </c>
      <c r="O273" t="n">
        <v>0</v>
      </c>
      <c r="P273" t="n">
        <v>0</v>
      </c>
      <c r="Q273" t="n">
        <v>0</v>
      </c>
      <c r="R273" t="n">
        <v>0</v>
      </c>
      <c r="S273" t="n">
        <v>0</v>
      </c>
      <c r="T273" t="n">
        <v>0</v>
      </c>
      <c r="U273" s="2" t="inlineStr"/>
    </row>
    <row r="274" ht="15" customHeight="1">
      <c r="A274" t="inlineStr">
        <is>
          <t>A 26958-2026</t>
        </is>
      </c>
      <c r="B274" t="inlineStr">
        <is>
          <t>avverkningsanmälan</t>
        </is>
      </c>
      <c r="C274" t="inlineStr">
        <is>
          <t>Föryngringsavverkning</t>
        </is>
      </c>
      <c r="D274" s="1" t="n">
        <v>46185</v>
      </c>
      <c r="E274" s="1" t="n">
        <v>46220</v>
      </c>
      <c r="F274" t="inlineStr">
        <is>
          <t>VÄSTERBOTTENS LÄN</t>
        </is>
      </c>
      <c r="G274" t="inlineStr">
        <is>
          <t>SORSELE</t>
        </is>
      </c>
      <c r="H274" t="inlineStr">
        <is>
          <t>Sveaskog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26956-2026</t>
        </is>
      </c>
      <c r="B275" t="inlineStr">
        <is>
          <t>avverkningsanmälan</t>
        </is>
      </c>
      <c r="C275" t="inlineStr">
        <is>
          <t>Föryngringsavverkning</t>
        </is>
      </c>
      <c r="D275" s="1" t="n">
        <v>46185</v>
      </c>
      <c r="E275" s="1" t="n">
        <v>46220</v>
      </c>
      <c r="F275" t="inlineStr">
        <is>
          <t>VÄSTERBOTTENS LÄN</t>
        </is>
      </c>
      <c r="G275" t="inlineStr">
        <is>
          <t>SORSELE</t>
        </is>
      </c>
      <c r="H275" t="inlineStr">
        <is>
          <t>Sveaskog</t>
        </is>
      </c>
      <c r="I275" t="n">
        <v>26.9</v>
      </c>
      <c r="J275" t="n">
        <v>0</v>
      </c>
      <c r="K275" t="n">
        <v>0</v>
      </c>
      <c r="L275" t="n">
        <v>0</v>
      </c>
      <c r="M275" t="n">
        <v>0</v>
      </c>
      <c r="N275" t="n">
        <v>0</v>
      </c>
      <c r="O275" t="n">
        <v>0</v>
      </c>
      <c r="P275" t="n">
        <v>0</v>
      </c>
      <c r="Q275" t="n">
        <v>0</v>
      </c>
      <c r="R275" t="n">
        <v>0</v>
      </c>
      <c r="S275" t="n">
        <v>0</v>
      </c>
      <c r="T275" t="n">
        <v>0</v>
      </c>
      <c r="U275" s="2" t="inlineStr"/>
    </row>
    <row r="276" ht="15" customHeight="1">
      <c r="A276" t="inlineStr">
        <is>
          <t>A 26990-2026</t>
        </is>
      </c>
      <c r="B276" t="inlineStr">
        <is>
          <t>avverkningsanmälan</t>
        </is>
      </c>
      <c r="C276" t="inlineStr">
        <is>
          <t>Föryngringsavverkning</t>
        </is>
      </c>
      <c r="D276" s="1" t="n">
        <v>46185</v>
      </c>
      <c r="E276" s="1" t="n">
        <v>46220</v>
      </c>
      <c r="F276" t="inlineStr">
        <is>
          <t>VÄSTERBOTTENS LÄN</t>
        </is>
      </c>
      <c r="G276" t="inlineStr">
        <is>
          <t>SORSELE</t>
        </is>
      </c>
      <c r="H276" t="inlineStr">
        <is>
          <t>Sveaskog</t>
        </is>
      </c>
      <c r="I276" t="n">
        <v>8.1</v>
      </c>
      <c r="J276" t="n">
        <v>0</v>
      </c>
      <c r="K276" t="n">
        <v>0</v>
      </c>
      <c r="L276" t="n">
        <v>0</v>
      </c>
      <c r="M276" t="n">
        <v>0</v>
      </c>
      <c r="N276" t="n">
        <v>0</v>
      </c>
      <c r="O276" t="n">
        <v>0</v>
      </c>
      <c r="P276" t="n">
        <v>0</v>
      </c>
      <c r="Q276" t="n">
        <v>0</v>
      </c>
      <c r="R276" t="n">
        <v>0</v>
      </c>
      <c r="S276" t="n">
        <v>0</v>
      </c>
      <c r="T276" t="n">
        <v>0</v>
      </c>
      <c r="U276" s="2" t="inlineStr"/>
    </row>
    <row r="277" ht="15" customHeight="1">
      <c r="A277" t="inlineStr">
        <is>
          <t>A 26989-2026</t>
        </is>
      </c>
      <c r="B277" t="inlineStr">
        <is>
          <t>avverkningsanmälan</t>
        </is>
      </c>
      <c r="C277" t="inlineStr">
        <is>
          <t>Föryngringsavverkning</t>
        </is>
      </c>
      <c r="D277" s="1" t="n">
        <v>46185</v>
      </c>
      <c r="E277" s="1" t="n">
        <v>46220</v>
      </c>
      <c r="F277" t="inlineStr">
        <is>
          <t>VÄSTERBOTTENS LÄN</t>
        </is>
      </c>
      <c r="G277" t="inlineStr">
        <is>
          <t>SORSELE</t>
        </is>
      </c>
      <c r="H277" t="inlineStr">
        <is>
          <t>Sveaskog</t>
        </is>
      </c>
      <c r="I277" t="n">
        <v>7.4</v>
      </c>
      <c r="J277" t="n">
        <v>0</v>
      </c>
      <c r="K277" t="n">
        <v>0</v>
      </c>
      <c r="L277" t="n">
        <v>0</v>
      </c>
      <c r="M277" t="n">
        <v>0</v>
      </c>
      <c r="N277" t="n">
        <v>0</v>
      </c>
      <c r="O277" t="n">
        <v>0</v>
      </c>
      <c r="P277" t="n">
        <v>0</v>
      </c>
      <c r="Q277" t="n">
        <v>0</v>
      </c>
      <c r="R277" t="n">
        <v>0</v>
      </c>
      <c r="S277" t="n">
        <v>0</v>
      </c>
      <c r="T277" t="n">
        <v>0</v>
      </c>
      <c r="U277" s="2" t="inlineStr"/>
    </row>
    <row r="278" ht="15" customHeight="1">
      <c r="A278" t="inlineStr">
        <is>
          <t>A 42749-2023</t>
        </is>
      </c>
      <c r="B278" t="inlineStr">
        <is>
          <t>avverkningsanmälan</t>
        </is>
      </c>
      <c r="C278" t="inlineStr">
        <is>
          <t>Avverkning för annat ändamål</t>
        </is>
      </c>
      <c r="D278" s="1" t="n">
        <v>45177</v>
      </c>
      <c r="E278" s="1" t="n">
        <v>46220</v>
      </c>
      <c r="F278" t="inlineStr">
        <is>
          <t>VÄSTERBOTTENS LÄN</t>
        </is>
      </c>
      <c r="G278" t="inlineStr">
        <is>
          <t>SORSELE</t>
        </is>
      </c>
      <c r="I278" t="n">
        <v>4.7</v>
      </c>
      <c r="J278" t="n">
        <v>0</v>
      </c>
      <c r="K278" t="n">
        <v>0</v>
      </c>
      <c r="L278" t="n">
        <v>0</v>
      </c>
      <c r="M278" t="n">
        <v>0</v>
      </c>
      <c r="N278" t="n">
        <v>0</v>
      </c>
      <c r="O278" t="n">
        <v>0</v>
      </c>
      <c r="P278" t="n">
        <v>0</v>
      </c>
      <c r="Q278" t="n">
        <v>0</v>
      </c>
      <c r="R278" t="n">
        <v>0</v>
      </c>
      <c r="S278" t="n">
        <v>0</v>
      </c>
      <c r="T278" t="n">
        <v>0</v>
      </c>
      <c r="U278" s="2" t="inlineStr"/>
    </row>
    <row r="279" ht="15" customHeight="1">
      <c r="A279" t="inlineStr">
        <is>
          <t>A 21413-2026</t>
        </is>
      </c>
      <c r="B279" t="inlineStr">
        <is>
          <t>avverkningsanmälan</t>
        </is>
      </c>
      <c r="C279" t="inlineStr">
        <is>
          <t>Föryngringsavverkning</t>
        </is>
      </c>
      <c r="D279" s="1" t="n">
        <v>46146</v>
      </c>
      <c r="E279" s="1" t="n">
        <v>46220</v>
      </c>
      <c r="F279" t="inlineStr">
        <is>
          <t>VÄSTERBOTTENS LÄN</t>
        </is>
      </c>
      <c r="G279" t="inlineStr">
        <is>
          <t>SORSELE</t>
        </is>
      </c>
      <c r="I279" t="n">
        <v>18.1</v>
      </c>
      <c r="J279" t="n">
        <v>0</v>
      </c>
      <c r="K279" t="n">
        <v>0</v>
      </c>
      <c r="L279" t="n">
        <v>0</v>
      </c>
      <c r="M279" t="n">
        <v>0</v>
      </c>
      <c r="N279" t="n">
        <v>0</v>
      </c>
      <c r="O279" t="n">
        <v>0</v>
      </c>
      <c r="P279" t="n">
        <v>0</v>
      </c>
      <c r="Q279" t="n">
        <v>0</v>
      </c>
      <c r="R279" t="n">
        <v>0</v>
      </c>
      <c r="S279" t="n">
        <v>0</v>
      </c>
      <c r="T279" t="n">
        <v>0</v>
      </c>
      <c r="U279" s="2" t="inlineStr"/>
    </row>
    <row r="280" ht="15" customHeight="1">
      <c r="A280" t="inlineStr">
        <is>
          <t>A 23336-2022</t>
        </is>
      </c>
      <c r="B280" t="inlineStr">
        <is>
          <t>avverkningsanmälan</t>
        </is>
      </c>
      <c r="C280" t="inlineStr">
        <is>
          <t>Föryngringsavverkning</t>
        </is>
      </c>
      <c r="D280" s="1" t="n">
        <v>44719</v>
      </c>
      <c r="E280" s="1" t="n">
        <v>46220</v>
      </c>
      <c r="F280" t="inlineStr">
        <is>
          <t>VÄSTERBOTTENS LÄN</t>
        </is>
      </c>
      <c r="G280" t="inlineStr">
        <is>
          <t>SORSELE</t>
        </is>
      </c>
      <c r="I280" t="n">
        <v>8.6</v>
      </c>
      <c r="J280" t="n">
        <v>0</v>
      </c>
      <c r="K280" t="n">
        <v>0</v>
      </c>
      <c r="L280" t="n">
        <v>0</v>
      </c>
      <c r="M280" t="n">
        <v>0</v>
      </c>
      <c r="N280" t="n">
        <v>0</v>
      </c>
      <c r="O280" t="n">
        <v>0</v>
      </c>
      <c r="P280" t="n">
        <v>0</v>
      </c>
      <c r="Q280" t="n">
        <v>0</v>
      </c>
      <c r="R280" t="n">
        <v>0</v>
      </c>
      <c r="S280" t="n">
        <v>0</v>
      </c>
      <c r="T280" t="n">
        <v>0</v>
      </c>
      <c r="U280" s="2" t="inlineStr"/>
    </row>
    <row r="281" ht="15" customHeight="1">
      <c r="A281" t="inlineStr">
        <is>
          <t>A 61967-2022</t>
        </is>
      </c>
      <c r="B281" t="inlineStr">
        <is>
          <t>avverkningsanmälan</t>
        </is>
      </c>
      <c r="C281" t="inlineStr">
        <is>
          <t>Föryngringsavverkning</t>
        </is>
      </c>
      <c r="D281" s="1" t="n">
        <v>44918</v>
      </c>
      <c r="E281" s="1" t="n">
        <v>46220</v>
      </c>
      <c r="F281" t="inlineStr">
        <is>
          <t>VÄSTERBOTTENS LÄN</t>
        </is>
      </c>
      <c r="G281" t="inlineStr">
        <is>
          <t>SORSELE</t>
        </is>
      </c>
      <c r="H281" t="inlineStr">
        <is>
          <t>Sveaskog</t>
        </is>
      </c>
      <c r="I281" t="n">
        <v>17.5</v>
      </c>
      <c r="J281" t="n">
        <v>0</v>
      </c>
      <c r="K281" t="n">
        <v>0</v>
      </c>
      <c r="L281" t="n">
        <v>0</v>
      </c>
      <c r="M281" t="n">
        <v>0</v>
      </c>
      <c r="N281" t="n">
        <v>0</v>
      </c>
      <c r="O281" t="n">
        <v>0</v>
      </c>
      <c r="P281" t="n">
        <v>0</v>
      </c>
      <c r="Q281" t="n">
        <v>0</v>
      </c>
      <c r="R281" t="n">
        <v>0</v>
      </c>
      <c r="S281" t="n">
        <v>0</v>
      </c>
      <c r="T281" t="n">
        <v>0</v>
      </c>
      <c r="U281" s="2" t="inlineStr"/>
    </row>
    <row r="282" ht="15" customHeight="1">
      <c r="A282" t="inlineStr">
        <is>
          <t>A 38944-2024</t>
        </is>
      </c>
      <c r="B282" t="inlineStr">
        <is>
          <t>avverkningsanmälan</t>
        </is>
      </c>
      <c r="C282" t="inlineStr">
        <is>
          <t>Föryngringsavverkning</t>
        </is>
      </c>
      <c r="D282" s="1" t="n">
        <v>45548</v>
      </c>
      <c r="E282" s="1" t="n">
        <v>46220</v>
      </c>
      <c r="F282" t="inlineStr">
        <is>
          <t>VÄSTERBOTTENS LÄN</t>
        </is>
      </c>
      <c r="G282" t="inlineStr">
        <is>
          <t>SORSELE</t>
        </is>
      </c>
      <c r="H282" t="inlineStr">
        <is>
          <t>SCA</t>
        </is>
      </c>
      <c r="I282" t="n">
        <v>7</v>
      </c>
      <c r="J282" t="n">
        <v>0</v>
      </c>
      <c r="K282" t="n">
        <v>0</v>
      </c>
      <c r="L282" t="n">
        <v>0</v>
      </c>
      <c r="M282" t="n">
        <v>0</v>
      </c>
      <c r="N282" t="n">
        <v>0</v>
      </c>
      <c r="O282" t="n">
        <v>0</v>
      </c>
      <c r="P282" t="n">
        <v>0</v>
      </c>
      <c r="Q282" t="n">
        <v>0</v>
      </c>
      <c r="R282" t="n">
        <v>0</v>
      </c>
      <c r="S282" t="n">
        <v>0</v>
      </c>
      <c r="T282" t="n">
        <v>0</v>
      </c>
      <c r="U282" s="2" t="inlineStr"/>
    </row>
    <row r="283" ht="15" customHeight="1">
      <c r="A283" t="inlineStr">
        <is>
          <t>A 18180-2024</t>
        </is>
      </c>
      <c r="B283" t="inlineStr">
        <is>
          <t>avverkningsanmälan</t>
        </is>
      </c>
      <c r="C283" t="inlineStr">
        <is>
          <t>Föryngringsavverkning</t>
        </is>
      </c>
      <c r="D283" s="1" t="n">
        <v>45420</v>
      </c>
      <c r="E283" s="1" t="n">
        <v>46220</v>
      </c>
      <c r="F283" t="inlineStr">
        <is>
          <t>VÄSTERBOTTENS LÄN</t>
        </is>
      </c>
      <c r="G283" t="inlineStr">
        <is>
          <t>SORSELE</t>
        </is>
      </c>
      <c r="I283" t="n">
        <v>8.300000000000001</v>
      </c>
      <c r="J283" t="n">
        <v>0</v>
      </c>
      <c r="K283" t="n">
        <v>0</v>
      </c>
      <c r="L283" t="n">
        <v>0</v>
      </c>
      <c r="M283" t="n">
        <v>0</v>
      </c>
      <c r="N283" t="n">
        <v>0</v>
      </c>
      <c r="O283" t="n">
        <v>0</v>
      </c>
      <c r="P283" t="n">
        <v>0</v>
      </c>
      <c r="Q283" t="n">
        <v>0</v>
      </c>
      <c r="R283" t="n">
        <v>0</v>
      </c>
      <c r="S283" t="n">
        <v>0</v>
      </c>
      <c r="T283" t="n">
        <v>0</v>
      </c>
      <c r="U283" s="2" t="inlineStr"/>
    </row>
    <row r="284" ht="15" customHeight="1">
      <c r="A284" t="inlineStr">
        <is>
          <t>A 33636-2024</t>
        </is>
      </c>
      <c r="B284" t="inlineStr">
        <is>
          <t>avverkningsanmälan</t>
        </is>
      </c>
      <c r="C284" t="inlineStr">
        <is>
          <t>Föryngringsavverkning</t>
        </is>
      </c>
      <c r="D284" s="1" t="n">
        <v>45520</v>
      </c>
      <c r="E284" s="1" t="n">
        <v>46220</v>
      </c>
      <c r="F284" t="inlineStr">
        <is>
          <t>VÄSTERBOTTENS LÄN</t>
        </is>
      </c>
      <c r="G284" t="inlineStr">
        <is>
          <t>SORSELE</t>
        </is>
      </c>
      <c r="H284" t="inlineStr">
        <is>
          <t>Sveaskog</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43317-2022</t>
        </is>
      </c>
      <c r="B285" t="inlineStr">
        <is>
          <t>avverkningsanmälan</t>
        </is>
      </c>
      <c r="C285" t="inlineStr">
        <is>
          <t>Avverkning för annat ändamål</t>
        </is>
      </c>
      <c r="D285" s="1" t="n">
        <v>44834</v>
      </c>
      <c r="E285" s="1" t="n">
        <v>46220</v>
      </c>
      <c r="F285" t="inlineStr">
        <is>
          <t>VÄSTERBOTTENS LÄN</t>
        </is>
      </c>
      <c r="G285" t="inlineStr">
        <is>
          <t>SORSELE</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52507-2024</t>
        </is>
      </c>
      <c r="B286" t="inlineStr">
        <is>
          <t>avverkningsanmälan</t>
        </is>
      </c>
      <c r="C286" t="inlineStr">
        <is>
          <t>Föryngringsavverkning</t>
        </is>
      </c>
      <c r="D286" s="1" t="n">
        <v>45609</v>
      </c>
      <c r="E286" s="1" t="n">
        <v>46220</v>
      </c>
      <c r="F286" t="inlineStr">
        <is>
          <t>VÄSTERBOTTENS LÄN</t>
        </is>
      </c>
      <c r="G286" t="inlineStr">
        <is>
          <t>SORSELE</t>
        </is>
      </c>
      <c r="H286" t="inlineStr">
        <is>
          <t>Sveaskog</t>
        </is>
      </c>
      <c r="I286" t="n">
        <v>21.8</v>
      </c>
      <c r="J286" t="n">
        <v>0</v>
      </c>
      <c r="K286" t="n">
        <v>0</v>
      </c>
      <c r="L286" t="n">
        <v>0</v>
      </c>
      <c r="M286" t="n">
        <v>0</v>
      </c>
      <c r="N286" t="n">
        <v>0</v>
      </c>
      <c r="O286" t="n">
        <v>0</v>
      </c>
      <c r="P286" t="n">
        <v>0</v>
      </c>
      <c r="Q286" t="n">
        <v>0</v>
      </c>
      <c r="R286" t="n">
        <v>0</v>
      </c>
      <c r="S286" t="n">
        <v>0</v>
      </c>
      <c r="T286" t="n">
        <v>0</v>
      </c>
      <c r="U286" s="2" t="inlineStr"/>
    </row>
    <row r="287" ht="15" customHeight="1">
      <c r="A287" t="inlineStr">
        <is>
          <t>A 21948-2026</t>
        </is>
      </c>
      <c r="B287" t="inlineStr">
        <is>
          <t>avverkningsanmälan</t>
        </is>
      </c>
      <c r="C287" t="inlineStr">
        <is>
          <t>Föryngringsavverkning</t>
        </is>
      </c>
      <c r="D287" s="1" t="n">
        <v>46151</v>
      </c>
      <c r="E287" s="1" t="n">
        <v>46220</v>
      </c>
      <c r="F287" t="inlineStr">
        <is>
          <t>VÄSTERBOTTENS LÄN</t>
        </is>
      </c>
      <c r="G287" t="inlineStr">
        <is>
          <t>SORSELE</t>
        </is>
      </c>
      <c r="I287" t="n">
        <v>7.5</v>
      </c>
      <c r="J287" t="n">
        <v>0</v>
      </c>
      <c r="K287" t="n">
        <v>0</v>
      </c>
      <c r="L287" t="n">
        <v>0</v>
      </c>
      <c r="M287" t="n">
        <v>0</v>
      </c>
      <c r="N287" t="n">
        <v>0</v>
      </c>
      <c r="O287" t="n">
        <v>0</v>
      </c>
      <c r="P287" t="n">
        <v>0</v>
      </c>
      <c r="Q287" t="n">
        <v>0</v>
      </c>
      <c r="R287" t="n">
        <v>0</v>
      </c>
      <c r="S287" t="n">
        <v>0</v>
      </c>
      <c r="T287" t="n">
        <v>0</v>
      </c>
      <c r="U287" s="2" t="inlineStr"/>
    </row>
    <row r="288" ht="15" customHeight="1">
      <c r="A288" t="inlineStr">
        <is>
          <t>A 13093-2023</t>
        </is>
      </c>
      <c r="B288" t="inlineStr">
        <is>
          <t>avverkningsanmälan</t>
        </is>
      </c>
      <c r="C288" t="inlineStr">
        <is>
          <t>Föryngringsavverkning</t>
        </is>
      </c>
      <c r="D288" s="1" t="n">
        <v>45002</v>
      </c>
      <c r="E288" s="1" t="n">
        <v>46220</v>
      </c>
      <c r="F288" t="inlineStr">
        <is>
          <t>VÄSTERBOTTENS LÄN</t>
        </is>
      </c>
      <c r="G288" t="inlineStr">
        <is>
          <t>SORSELE</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25259-2026</t>
        </is>
      </c>
      <c r="B289" t="inlineStr">
        <is>
          <t>avverkningsanmälan</t>
        </is>
      </c>
      <c r="C289" t="inlineStr">
        <is>
          <t>Föryngringsavverkning</t>
        </is>
      </c>
      <c r="D289" s="1" t="n">
        <v>46175</v>
      </c>
      <c r="E289" s="1" t="n">
        <v>46220</v>
      </c>
      <c r="F289" t="inlineStr">
        <is>
          <t>VÄSTERBOTTENS LÄN</t>
        </is>
      </c>
      <c r="G289" t="inlineStr">
        <is>
          <t>SORSELE</t>
        </is>
      </c>
      <c r="I289" t="n">
        <v>20.3</v>
      </c>
      <c r="J289" t="n">
        <v>0</v>
      </c>
      <c r="K289" t="n">
        <v>0</v>
      </c>
      <c r="L289" t="n">
        <v>0</v>
      </c>
      <c r="M289" t="n">
        <v>0</v>
      </c>
      <c r="N289" t="n">
        <v>0</v>
      </c>
      <c r="O289" t="n">
        <v>0</v>
      </c>
      <c r="P289" t="n">
        <v>0</v>
      </c>
      <c r="Q289" t="n">
        <v>0</v>
      </c>
      <c r="R289" t="n">
        <v>0</v>
      </c>
      <c r="S289" t="n">
        <v>0</v>
      </c>
      <c r="T289" t="n">
        <v>0</v>
      </c>
      <c r="U289" s="2" t="inlineStr"/>
    </row>
    <row r="290" ht="15" customHeight="1">
      <c r="A290" t="inlineStr">
        <is>
          <t>A 23126-2022</t>
        </is>
      </c>
      <c r="B290" t="inlineStr">
        <is>
          <t>avverkningsanmälan</t>
        </is>
      </c>
      <c r="C290" t="inlineStr">
        <is>
          <t>Föryngringsavverkning</t>
        </is>
      </c>
      <c r="D290" s="1" t="n">
        <v>44719</v>
      </c>
      <c r="E290" s="1" t="n">
        <v>46220</v>
      </c>
      <c r="F290" t="inlineStr">
        <is>
          <t>VÄSTERBOTTENS LÄN</t>
        </is>
      </c>
      <c r="G290" t="inlineStr">
        <is>
          <t>SORSELE</t>
        </is>
      </c>
      <c r="I290" t="n">
        <v>20.7</v>
      </c>
      <c r="J290" t="n">
        <v>0</v>
      </c>
      <c r="K290" t="n">
        <v>0</v>
      </c>
      <c r="L290" t="n">
        <v>0</v>
      </c>
      <c r="M290" t="n">
        <v>0</v>
      </c>
      <c r="N290" t="n">
        <v>0</v>
      </c>
      <c r="O290" t="n">
        <v>0</v>
      </c>
      <c r="P290" t="n">
        <v>0</v>
      </c>
      <c r="Q290" t="n">
        <v>0</v>
      </c>
      <c r="R290" t="n">
        <v>0</v>
      </c>
      <c r="S290" t="n">
        <v>0</v>
      </c>
      <c r="T290" t="n">
        <v>0</v>
      </c>
      <c r="U290" s="2" t="inlineStr"/>
    </row>
    <row r="291" ht="15" customHeight="1">
      <c r="A291" t="inlineStr">
        <is>
          <t>A 50944-2024</t>
        </is>
      </c>
      <c r="B291" t="inlineStr">
        <is>
          <t>avverkningsanmälan</t>
        </is>
      </c>
      <c r="C291" t="inlineStr">
        <is>
          <t>Föryngringsavverkning</t>
        </is>
      </c>
      <c r="D291" s="1" t="n">
        <v>45602</v>
      </c>
      <c r="E291" s="1" t="n">
        <v>46220</v>
      </c>
      <c r="F291" t="inlineStr">
        <is>
          <t>VÄSTERBOTTENS LÄN</t>
        </is>
      </c>
      <c r="G291" t="inlineStr">
        <is>
          <t>SORSELE</t>
        </is>
      </c>
      <c r="I291" t="n">
        <v>3.8</v>
      </c>
      <c r="J291" t="n">
        <v>0</v>
      </c>
      <c r="K291" t="n">
        <v>0</v>
      </c>
      <c r="L291" t="n">
        <v>0</v>
      </c>
      <c r="M291" t="n">
        <v>0</v>
      </c>
      <c r="N291" t="n">
        <v>0</v>
      </c>
      <c r="O291" t="n">
        <v>0</v>
      </c>
      <c r="P291" t="n">
        <v>0</v>
      </c>
      <c r="Q291" t="n">
        <v>0</v>
      </c>
      <c r="R291" t="n">
        <v>0</v>
      </c>
      <c r="S291" t="n">
        <v>0</v>
      </c>
      <c r="T291" t="n">
        <v>0</v>
      </c>
      <c r="U291" s="2" t="inlineStr"/>
    </row>
    <row r="292" ht="15" customHeight="1">
      <c r="A292" t="inlineStr">
        <is>
          <t>A 26034-2025</t>
        </is>
      </c>
      <c r="B292" t="inlineStr">
        <is>
          <t>avverkningsanmälan</t>
        </is>
      </c>
      <c r="C292" t="inlineStr">
        <is>
          <t>Föryngringsavverkning</t>
        </is>
      </c>
      <c r="D292" s="1" t="n">
        <v>45804</v>
      </c>
      <c r="E292" s="1" t="n">
        <v>46220</v>
      </c>
      <c r="F292" t="inlineStr">
        <is>
          <t>VÄSTERBOTTENS LÄN</t>
        </is>
      </c>
      <c r="G292" t="inlineStr">
        <is>
          <t>SORSELE</t>
        </is>
      </c>
      <c r="I292" t="n">
        <v>4.1</v>
      </c>
      <c r="J292" t="n">
        <v>0</v>
      </c>
      <c r="K292" t="n">
        <v>0</v>
      </c>
      <c r="L292" t="n">
        <v>0</v>
      </c>
      <c r="M292" t="n">
        <v>0</v>
      </c>
      <c r="N292" t="n">
        <v>0</v>
      </c>
      <c r="O292" t="n">
        <v>0</v>
      </c>
      <c r="P292" t="n">
        <v>0</v>
      </c>
      <c r="Q292" t="n">
        <v>0</v>
      </c>
      <c r="R292" t="n">
        <v>0</v>
      </c>
      <c r="S292" t="n">
        <v>0</v>
      </c>
      <c r="T292" t="n">
        <v>0</v>
      </c>
      <c r="U292" s="2" t="inlineStr"/>
    </row>
    <row r="293" ht="15" customHeight="1">
      <c r="A293" t="inlineStr">
        <is>
          <t>A 16850-2023</t>
        </is>
      </c>
      <c r="B293" t="inlineStr">
        <is>
          <t>avverkningsanmälan</t>
        </is>
      </c>
      <c r="C293" t="inlineStr">
        <is>
          <t>Föryngringsavverkning</t>
        </is>
      </c>
      <c r="D293" s="1" t="n">
        <v>45029</v>
      </c>
      <c r="E293" s="1" t="n">
        <v>46220</v>
      </c>
      <c r="F293" t="inlineStr">
        <is>
          <t>VÄSTERBOTTENS LÄN</t>
        </is>
      </c>
      <c r="G293" t="inlineStr">
        <is>
          <t>SORSELE</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47981-2024</t>
        </is>
      </c>
      <c r="B294" t="inlineStr">
        <is>
          <t>avverkningsanmälan</t>
        </is>
      </c>
      <c r="C294" t="inlineStr">
        <is>
          <t>Föryngringsavverkning</t>
        </is>
      </c>
      <c r="D294" s="1" t="n">
        <v>45589</v>
      </c>
      <c r="E294" s="1" t="n">
        <v>46220</v>
      </c>
      <c r="F294" t="inlineStr">
        <is>
          <t>VÄSTERBOTTENS LÄN</t>
        </is>
      </c>
      <c r="G294" t="inlineStr">
        <is>
          <t>SORSELE</t>
        </is>
      </c>
      <c r="I294" t="n">
        <v>6.4</v>
      </c>
      <c r="J294" t="n">
        <v>0</v>
      </c>
      <c r="K294" t="n">
        <v>0</v>
      </c>
      <c r="L294" t="n">
        <v>0</v>
      </c>
      <c r="M294" t="n">
        <v>0</v>
      </c>
      <c r="N294" t="n">
        <v>0</v>
      </c>
      <c r="O294" t="n">
        <v>0</v>
      </c>
      <c r="P294" t="n">
        <v>0</v>
      </c>
      <c r="Q294" t="n">
        <v>0</v>
      </c>
      <c r="R294" t="n">
        <v>0</v>
      </c>
      <c r="S294" t="n">
        <v>0</v>
      </c>
      <c r="T294" t="n">
        <v>0</v>
      </c>
      <c r="U294" s="2" t="inlineStr"/>
    </row>
    <row r="295" ht="15" customHeight="1">
      <c r="A295" t="inlineStr">
        <is>
          <t>A 26033-2025</t>
        </is>
      </c>
      <c r="B295" t="inlineStr">
        <is>
          <t>avverkningsanmälan</t>
        </is>
      </c>
      <c r="C295" t="inlineStr">
        <is>
          <t>Föryngringsavverkning</t>
        </is>
      </c>
      <c r="D295" s="1" t="n">
        <v>45804</v>
      </c>
      <c r="E295" s="1" t="n">
        <v>46220</v>
      </c>
      <c r="F295" t="inlineStr">
        <is>
          <t>VÄSTERBOTTENS LÄN</t>
        </is>
      </c>
      <c r="G295" t="inlineStr">
        <is>
          <t>SORSELE</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23229-2022</t>
        </is>
      </c>
      <c r="B296" t="inlineStr">
        <is>
          <t>avverkningsanmälan</t>
        </is>
      </c>
      <c r="C296" t="inlineStr">
        <is>
          <t>Föryngringsavverkning</t>
        </is>
      </c>
      <c r="D296" s="1" t="n">
        <v>44719</v>
      </c>
      <c r="E296" s="1" t="n">
        <v>46220</v>
      </c>
      <c r="F296" t="inlineStr">
        <is>
          <t>VÄSTERBOTTENS LÄN</t>
        </is>
      </c>
      <c r="G296" t="inlineStr">
        <is>
          <t>SORSELE</t>
        </is>
      </c>
      <c r="I296" t="n">
        <v>22.6</v>
      </c>
      <c r="J296" t="n">
        <v>0</v>
      </c>
      <c r="K296" t="n">
        <v>0</v>
      </c>
      <c r="L296" t="n">
        <v>0</v>
      </c>
      <c r="M296" t="n">
        <v>0</v>
      </c>
      <c r="N296" t="n">
        <v>0</v>
      </c>
      <c r="O296" t="n">
        <v>0</v>
      </c>
      <c r="P296" t="n">
        <v>0</v>
      </c>
      <c r="Q296" t="n">
        <v>0</v>
      </c>
      <c r="R296" t="n">
        <v>0</v>
      </c>
      <c r="S296" t="n">
        <v>0</v>
      </c>
      <c r="T296" t="n">
        <v>0</v>
      </c>
      <c r="U296" s="2" t="inlineStr"/>
    </row>
    <row r="297" ht="15" customHeight="1">
      <c r="A297" t="inlineStr">
        <is>
          <t>A 33682-2024</t>
        </is>
      </c>
      <c r="B297" t="inlineStr">
        <is>
          <t>avverkningsanmälan</t>
        </is>
      </c>
      <c r="C297" t="inlineStr">
        <is>
          <t>Föryngringsavverkning</t>
        </is>
      </c>
      <c r="D297" s="1" t="n">
        <v>45520</v>
      </c>
      <c r="E297" s="1" t="n">
        <v>46220</v>
      </c>
      <c r="F297" t="inlineStr">
        <is>
          <t>VÄSTERBOTTENS LÄN</t>
        </is>
      </c>
      <c r="G297" t="inlineStr">
        <is>
          <t>SORSELE</t>
        </is>
      </c>
      <c r="H297" t="inlineStr">
        <is>
          <t>Sveaskog</t>
        </is>
      </c>
      <c r="I297" t="n">
        <v>5.8</v>
      </c>
      <c r="J297" t="n">
        <v>0</v>
      </c>
      <c r="K297" t="n">
        <v>0</v>
      </c>
      <c r="L297" t="n">
        <v>0</v>
      </c>
      <c r="M297" t="n">
        <v>0</v>
      </c>
      <c r="N297" t="n">
        <v>0</v>
      </c>
      <c r="O297" t="n">
        <v>0</v>
      </c>
      <c r="P297" t="n">
        <v>0</v>
      </c>
      <c r="Q297" t="n">
        <v>0</v>
      </c>
      <c r="R297" t="n">
        <v>0</v>
      </c>
      <c r="S297" t="n">
        <v>0</v>
      </c>
      <c r="T297" t="n">
        <v>0</v>
      </c>
      <c r="U297" s="2" t="inlineStr"/>
    </row>
    <row r="298" ht="15" customHeight="1">
      <c r="A298" t="inlineStr">
        <is>
          <t>A 15183-2024</t>
        </is>
      </c>
      <c r="B298" t="inlineStr">
        <is>
          <t>avverkningsanmälan</t>
        </is>
      </c>
      <c r="C298" t="inlineStr">
        <is>
          <t>Föryngringsavverkning</t>
        </is>
      </c>
      <c r="D298" s="1" t="n">
        <v>45400</v>
      </c>
      <c r="E298" s="1" t="n">
        <v>46220</v>
      </c>
      <c r="F298" t="inlineStr">
        <is>
          <t>VÄSTERBOTTENS LÄN</t>
        </is>
      </c>
      <c r="G298" t="inlineStr">
        <is>
          <t>SORSELE</t>
        </is>
      </c>
      <c r="I298" t="n">
        <v>3</v>
      </c>
      <c r="J298" t="n">
        <v>0</v>
      </c>
      <c r="K298" t="n">
        <v>0</v>
      </c>
      <c r="L298" t="n">
        <v>0</v>
      </c>
      <c r="M298" t="n">
        <v>0</v>
      </c>
      <c r="N298" t="n">
        <v>0</v>
      </c>
      <c r="O298" t="n">
        <v>0</v>
      </c>
      <c r="P298" t="n">
        <v>0</v>
      </c>
      <c r="Q298" t="n">
        <v>0</v>
      </c>
      <c r="R298" t="n">
        <v>0</v>
      </c>
      <c r="S298" t="n">
        <v>0</v>
      </c>
      <c r="T298" t="n">
        <v>0</v>
      </c>
      <c r="U298" s="2" t="inlineStr"/>
    </row>
    <row r="299" ht="15" customHeight="1">
      <c r="A299" t="inlineStr">
        <is>
          <t>A 41251-2024</t>
        </is>
      </c>
      <c r="B299" t="inlineStr">
        <is>
          <t>avverkningsanmälan</t>
        </is>
      </c>
      <c r="C299" t="inlineStr">
        <is>
          <t>Föryngringsavverkning</t>
        </is>
      </c>
      <c r="D299" s="1" t="n">
        <v>45559</v>
      </c>
      <c r="E299" s="1" t="n">
        <v>46220</v>
      </c>
      <c r="F299" t="inlineStr">
        <is>
          <t>VÄSTERBOTTENS LÄN</t>
        </is>
      </c>
      <c r="G299" t="inlineStr">
        <is>
          <t>SORSELE</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50943-2024</t>
        </is>
      </c>
      <c r="B300" t="inlineStr">
        <is>
          <t>avverkningsanmälan</t>
        </is>
      </c>
      <c r="C300" t="inlineStr">
        <is>
          <t>Föryngringsavverkning</t>
        </is>
      </c>
      <c r="D300" s="1" t="n">
        <v>45602</v>
      </c>
      <c r="E300" s="1" t="n">
        <v>46220</v>
      </c>
      <c r="F300" t="inlineStr">
        <is>
          <t>VÄSTERBOTTENS LÄN</t>
        </is>
      </c>
      <c r="G300" t="inlineStr">
        <is>
          <t>SORSELE</t>
        </is>
      </c>
      <c r="I300" t="n">
        <v>4</v>
      </c>
      <c r="J300" t="n">
        <v>0</v>
      </c>
      <c r="K300" t="n">
        <v>0</v>
      </c>
      <c r="L300" t="n">
        <v>0</v>
      </c>
      <c r="M300" t="n">
        <v>0</v>
      </c>
      <c r="N300" t="n">
        <v>0</v>
      </c>
      <c r="O300" t="n">
        <v>0</v>
      </c>
      <c r="P300" t="n">
        <v>0</v>
      </c>
      <c r="Q300" t="n">
        <v>0</v>
      </c>
      <c r="R300" t="n">
        <v>0</v>
      </c>
      <c r="S300" t="n">
        <v>0</v>
      </c>
      <c r="T300" t="n">
        <v>0</v>
      </c>
      <c r="U300" s="2" t="inlineStr"/>
    </row>
    <row r="301" ht="15" customHeight="1">
      <c r="A301" t="inlineStr">
        <is>
          <t>A 33235-2024</t>
        </is>
      </c>
      <c r="B301" t="inlineStr">
        <is>
          <t>avverkningsanmälan</t>
        </is>
      </c>
      <c r="C301" t="inlineStr">
        <is>
          <t>Föryngringsavverkning</t>
        </is>
      </c>
      <c r="D301" s="1" t="n">
        <v>45518</v>
      </c>
      <c r="E301" s="1" t="n">
        <v>46220</v>
      </c>
      <c r="F301" t="inlineStr">
        <is>
          <t>VÄSTERBOTTENS LÄN</t>
        </is>
      </c>
      <c r="G301" t="inlineStr">
        <is>
          <t>SORSELE</t>
        </is>
      </c>
      <c r="I301" t="n">
        <v>3.8</v>
      </c>
      <c r="J301" t="n">
        <v>0</v>
      </c>
      <c r="K301" t="n">
        <v>0</v>
      </c>
      <c r="L301" t="n">
        <v>0</v>
      </c>
      <c r="M301" t="n">
        <v>0</v>
      </c>
      <c r="N301" t="n">
        <v>0</v>
      </c>
      <c r="O301" t="n">
        <v>0</v>
      </c>
      <c r="P301" t="n">
        <v>0</v>
      </c>
      <c r="Q301" t="n">
        <v>0</v>
      </c>
      <c r="R301" t="n">
        <v>0</v>
      </c>
      <c r="S301" t="n">
        <v>0</v>
      </c>
      <c r="T301" t="n">
        <v>0</v>
      </c>
      <c r="U301" s="2" t="inlineStr"/>
    </row>
    <row r="302" ht="15" customHeight="1">
      <c r="A302" t="inlineStr">
        <is>
          <t>A 43286-2024</t>
        </is>
      </c>
      <c r="B302" t="inlineStr">
        <is>
          <t>avverkningsanmälan</t>
        </is>
      </c>
      <c r="C302" t="inlineStr">
        <is>
          <t>Föryngringsavverkning</t>
        </is>
      </c>
      <c r="D302" s="1" t="n">
        <v>45568</v>
      </c>
      <c r="E302" s="1" t="n">
        <v>46220</v>
      </c>
      <c r="F302" t="inlineStr">
        <is>
          <t>VÄSTERBOTTENS LÄN</t>
        </is>
      </c>
      <c r="G302" t="inlineStr">
        <is>
          <t>SORSELE</t>
        </is>
      </c>
      <c r="I302" t="n">
        <v>5.5</v>
      </c>
      <c r="J302" t="n">
        <v>0</v>
      </c>
      <c r="K302" t="n">
        <v>0</v>
      </c>
      <c r="L302" t="n">
        <v>0</v>
      </c>
      <c r="M302" t="n">
        <v>0</v>
      </c>
      <c r="N302" t="n">
        <v>0</v>
      </c>
      <c r="O302" t="n">
        <v>0</v>
      </c>
      <c r="P302" t="n">
        <v>0</v>
      </c>
      <c r="Q302" t="n">
        <v>0</v>
      </c>
      <c r="R302" t="n">
        <v>0</v>
      </c>
      <c r="S302" t="n">
        <v>0</v>
      </c>
      <c r="T302" t="n">
        <v>0</v>
      </c>
      <c r="U302" s="2" t="inlineStr"/>
    </row>
    <row r="303" ht="15" customHeight="1">
      <c r="A303" t="inlineStr">
        <is>
          <t>A 47933-2023</t>
        </is>
      </c>
      <c r="B303" t="inlineStr">
        <is>
          <t>avverkningsanmälan</t>
        </is>
      </c>
      <c r="C303" t="inlineStr">
        <is>
          <t>Föryngringsavverkning</t>
        </is>
      </c>
      <c r="D303" s="1" t="n">
        <v>45198</v>
      </c>
      <c r="E303" s="1" t="n">
        <v>46220</v>
      </c>
      <c r="F303" t="inlineStr">
        <is>
          <t>VÄSTERBOTTENS LÄN</t>
        </is>
      </c>
      <c r="G303" t="inlineStr">
        <is>
          <t>SORSELE</t>
        </is>
      </c>
      <c r="I303" t="n">
        <v>125</v>
      </c>
      <c r="J303" t="n">
        <v>0</v>
      </c>
      <c r="K303" t="n">
        <v>0</v>
      </c>
      <c r="L303" t="n">
        <v>0</v>
      </c>
      <c r="M303" t="n">
        <v>0</v>
      </c>
      <c r="N303" t="n">
        <v>0</v>
      </c>
      <c r="O303" t="n">
        <v>0</v>
      </c>
      <c r="P303" t="n">
        <v>0</v>
      </c>
      <c r="Q303" t="n">
        <v>0</v>
      </c>
      <c r="R303" t="n">
        <v>0</v>
      </c>
      <c r="S303" t="n">
        <v>0</v>
      </c>
      <c r="T303" t="n">
        <v>0</v>
      </c>
      <c r="U303" s="2" t="inlineStr"/>
    </row>
    <row r="304" ht="15" customHeight="1">
      <c r="A304" t="inlineStr">
        <is>
          <t>A 17324-2024</t>
        </is>
      </c>
      <c r="B304" t="inlineStr">
        <is>
          <t>avverkningsanmälan</t>
        </is>
      </c>
      <c r="C304" t="inlineStr">
        <is>
          <t>Föryngringsavverkning</t>
        </is>
      </c>
      <c r="D304" s="1" t="n">
        <v>45414</v>
      </c>
      <c r="E304" s="1" t="n">
        <v>46220</v>
      </c>
      <c r="F304" t="inlineStr">
        <is>
          <t>VÄSTERBOTTENS LÄN</t>
        </is>
      </c>
      <c r="G304" t="inlineStr">
        <is>
          <t>SORSELE</t>
        </is>
      </c>
      <c r="I304" t="n">
        <v>34.5</v>
      </c>
      <c r="J304" t="n">
        <v>0</v>
      </c>
      <c r="K304" t="n">
        <v>0</v>
      </c>
      <c r="L304" t="n">
        <v>0</v>
      </c>
      <c r="M304" t="n">
        <v>0</v>
      </c>
      <c r="N304" t="n">
        <v>0</v>
      </c>
      <c r="O304" t="n">
        <v>0</v>
      </c>
      <c r="P304" t="n">
        <v>0</v>
      </c>
      <c r="Q304" t="n">
        <v>0</v>
      </c>
      <c r="R304" t="n">
        <v>0</v>
      </c>
      <c r="S304" t="n">
        <v>0</v>
      </c>
      <c r="T304" t="n">
        <v>0</v>
      </c>
      <c r="U304" s="2" t="inlineStr"/>
    </row>
    <row r="305" ht="15" customHeight="1">
      <c r="A305" t="inlineStr">
        <is>
          <t>A 3602-2025</t>
        </is>
      </c>
      <c r="B305" t="inlineStr">
        <is>
          <t>avverkningsanmälan</t>
        </is>
      </c>
      <c r="C305" t="inlineStr">
        <is>
          <t>Avverkning för att bevara och utveckla /försöksver</t>
        </is>
      </c>
      <c r="D305" s="1" t="n">
        <v>45681</v>
      </c>
      <c r="E305" s="1" t="n">
        <v>46220</v>
      </c>
      <c r="F305" t="inlineStr">
        <is>
          <t>VÄSTERBOTTENS LÄN</t>
        </is>
      </c>
      <c r="G305" t="inlineStr">
        <is>
          <t>SORSELE</t>
        </is>
      </c>
      <c r="H305" t="inlineStr">
        <is>
          <t>SCA</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8282-2023</t>
        </is>
      </c>
      <c r="B306" t="inlineStr">
        <is>
          <t>avverkningsanmälan</t>
        </is>
      </c>
      <c r="C306" t="inlineStr">
        <is>
          <t>Föryngringsavverkning</t>
        </is>
      </c>
      <c r="D306" s="1" t="n">
        <v>44974</v>
      </c>
      <c r="E306" s="1" t="n">
        <v>46220</v>
      </c>
      <c r="F306" t="inlineStr">
        <is>
          <t>VÄSTERBOTTENS LÄN</t>
        </is>
      </c>
      <c r="G306" t="inlineStr">
        <is>
          <t>SORSELE</t>
        </is>
      </c>
      <c r="I306" t="n">
        <v>4</v>
      </c>
      <c r="J306" t="n">
        <v>0</v>
      </c>
      <c r="K306" t="n">
        <v>0</v>
      </c>
      <c r="L306" t="n">
        <v>0</v>
      </c>
      <c r="M306" t="n">
        <v>0</v>
      </c>
      <c r="N306" t="n">
        <v>0</v>
      </c>
      <c r="O306" t="n">
        <v>0</v>
      </c>
      <c r="P306" t="n">
        <v>0</v>
      </c>
      <c r="Q306" t="n">
        <v>0</v>
      </c>
      <c r="R306" t="n">
        <v>0</v>
      </c>
      <c r="S306" t="n">
        <v>0</v>
      </c>
      <c r="T306" t="n">
        <v>0</v>
      </c>
      <c r="U306" s="2" t="inlineStr"/>
    </row>
    <row r="307" ht="15" customHeight="1">
      <c r="A307" t="inlineStr">
        <is>
          <t>A 56414-2022</t>
        </is>
      </c>
      <c r="B307" t="inlineStr">
        <is>
          <t>avverkningsanmälan</t>
        </is>
      </c>
      <c r="C307" t="inlineStr">
        <is>
          <t>Föryngringsavverkning</t>
        </is>
      </c>
      <c r="D307" s="1" t="n">
        <v>44890</v>
      </c>
      <c r="E307" s="1" t="n">
        <v>46220</v>
      </c>
      <c r="F307" t="inlineStr">
        <is>
          <t>VÄSTERBOTTENS LÄN</t>
        </is>
      </c>
      <c r="G307" t="inlineStr">
        <is>
          <t>SORSELE</t>
        </is>
      </c>
      <c r="H307" t="inlineStr">
        <is>
          <t>SCA</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18751-2023</t>
        </is>
      </c>
      <c r="B308" t="inlineStr">
        <is>
          <t>avverkningsanmälan</t>
        </is>
      </c>
      <c r="C308" t="inlineStr">
        <is>
          <t>Föryngringsavverkning</t>
        </is>
      </c>
      <c r="D308" s="1" t="n">
        <v>45043</v>
      </c>
      <c r="E308" s="1" t="n">
        <v>46220</v>
      </c>
      <c r="F308" t="inlineStr">
        <is>
          <t>VÄSTERBOTTENS LÄN</t>
        </is>
      </c>
      <c r="G308" t="inlineStr">
        <is>
          <t>SORSELE</t>
        </is>
      </c>
      <c r="I308" t="n">
        <v>5.7</v>
      </c>
      <c r="J308" t="n">
        <v>0</v>
      </c>
      <c r="K308" t="n">
        <v>0</v>
      </c>
      <c r="L308" t="n">
        <v>0</v>
      </c>
      <c r="M308" t="n">
        <v>0</v>
      </c>
      <c r="N308" t="n">
        <v>0</v>
      </c>
      <c r="O308" t="n">
        <v>0</v>
      </c>
      <c r="P308" t="n">
        <v>0</v>
      </c>
      <c r="Q308" t="n">
        <v>0</v>
      </c>
      <c r="R308" t="n">
        <v>0</v>
      </c>
      <c r="S308" t="n">
        <v>0</v>
      </c>
      <c r="T308" t="n">
        <v>0</v>
      </c>
      <c r="U308" s="2" t="inlineStr"/>
    </row>
    <row r="309" ht="15" customHeight="1">
      <c r="A309" t="inlineStr">
        <is>
          <t>A 26036-2025</t>
        </is>
      </c>
      <c r="B309" t="inlineStr">
        <is>
          <t>avverkningsanmälan</t>
        </is>
      </c>
      <c r="C309" t="inlineStr">
        <is>
          <t>Föryngringsavverkning</t>
        </is>
      </c>
      <c r="D309" s="1" t="n">
        <v>45804</v>
      </c>
      <c r="E309" s="1" t="n">
        <v>46220</v>
      </c>
      <c r="F309" t="inlineStr">
        <is>
          <t>VÄSTERBOTTENS LÄN</t>
        </is>
      </c>
      <c r="G309" t="inlineStr">
        <is>
          <t>SORSELE</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37816-2023</t>
        </is>
      </c>
      <c r="B310" t="inlineStr">
        <is>
          <t>avverkningsanmälan</t>
        </is>
      </c>
      <c r="C310" t="inlineStr">
        <is>
          <t>Föryngringsavverkning</t>
        </is>
      </c>
      <c r="D310" s="1" t="n">
        <v>45159</v>
      </c>
      <c r="E310" s="1" t="n">
        <v>46220</v>
      </c>
      <c r="F310" t="inlineStr">
        <is>
          <t>VÄSTERBOTTENS LÄN</t>
        </is>
      </c>
      <c r="G310" t="inlineStr">
        <is>
          <t>SORSELE</t>
        </is>
      </c>
      <c r="H310" t="inlineStr">
        <is>
          <t>SCA</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58676-2024</t>
        </is>
      </c>
      <c r="B311" t="inlineStr">
        <is>
          <t>avverkningsanmälan</t>
        </is>
      </c>
      <c r="C311" t="inlineStr">
        <is>
          <t>Föryngringsavverkning</t>
        </is>
      </c>
      <c r="D311" s="1" t="n">
        <v>45635</v>
      </c>
      <c r="E311" s="1" t="n">
        <v>46220</v>
      </c>
      <c r="F311" t="inlineStr">
        <is>
          <t>VÄSTERBOTTENS LÄN</t>
        </is>
      </c>
      <c r="G311" t="inlineStr">
        <is>
          <t>SORSELE</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32880-2023</t>
        </is>
      </c>
      <c r="B312" t="inlineStr">
        <is>
          <t>avverkningsanmälan</t>
        </is>
      </c>
      <c r="C312" t="inlineStr">
        <is>
          <t>Föryngringsavverkning</t>
        </is>
      </c>
      <c r="D312" s="1" t="n">
        <v>45124</v>
      </c>
      <c r="E312" s="1" t="n">
        <v>46220</v>
      </c>
      <c r="F312" t="inlineStr">
        <is>
          <t>VÄSTERBOTTENS LÄN</t>
        </is>
      </c>
      <c r="G312" t="inlineStr">
        <is>
          <t>SORSELE</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27039-2026</t>
        </is>
      </c>
      <c r="B313" t="inlineStr">
        <is>
          <t>avverkningsanmälan</t>
        </is>
      </c>
      <c r="C313" t="inlineStr">
        <is>
          <t>Föryngringsavverkning</t>
        </is>
      </c>
      <c r="D313" s="1" t="n">
        <v>46185</v>
      </c>
      <c r="E313" s="1" t="n">
        <v>46220</v>
      </c>
      <c r="F313" t="inlineStr">
        <is>
          <t>VÄSTERBOTTENS LÄN</t>
        </is>
      </c>
      <c r="G313" t="inlineStr">
        <is>
          <t>SORSELE</t>
        </is>
      </c>
      <c r="I313" t="n">
        <v>24.2</v>
      </c>
      <c r="J313" t="n">
        <v>0</v>
      </c>
      <c r="K313" t="n">
        <v>0</v>
      </c>
      <c r="L313" t="n">
        <v>0</v>
      </c>
      <c r="M313" t="n">
        <v>0</v>
      </c>
      <c r="N313" t="n">
        <v>0</v>
      </c>
      <c r="O313" t="n">
        <v>0</v>
      </c>
      <c r="P313" t="n">
        <v>0</v>
      </c>
      <c r="Q313" t="n">
        <v>0</v>
      </c>
      <c r="R313" t="n">
        <v>0</v>
      </c>
      <c r="S313" t="n">
        <v>0</v>
      </c>
      <c r="T313" t="n">
        <v>0</v>
      </c>
      <c r="U313" s="2" t="inlineStr"/>
    </row>
    <row r="314" ht="15" customHeight="1">
      <c r="A314" t="inlineStr">
        <is>
          <t>A 23722-2026</t>
        </is>
      </c>
      <c r="B314" t="inlineStr">
        <is>
          <t>avverkningsanmälan</t>
        </is>
      </c>
      <c r="C314" t="inlineStr">
        <is>
          <t>Föryngringsavverkning</t>
        </is>
      </c>
      <c r="D314" s="1" t="n">
        <v>46164</v>
      </c>
      <c r="E314" s="1" t="n">
        <v>46220</v>
      </c>
      <c r="F314" t="inlineStr">
        <is>
          <t>VÄSTERBOTTENS LÄN</t>
        </is>
      </c>
      <c r="G314" t="inlineStr">
        <is>
          <t>SORSELE</t>
        </is>
      </c>
      <c r="H314" t="inlineStr">
        <is>
          <t>SCA</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30451-2026</t>
        </is>
      </c>
      <c r="B315" t="inlineStr">
        <is>
          <t>avverkningsanmälan</t>
        </is>
      </c>
      <c r="C315" t="inlineStr">
        <is>
          <t>Avverkning för annat ändamål</t>
        </is>
      </c>
      <c r="D315" s="1" t="n">
        <v>46209</v>
      </c>
      <c r="E315" s="1" t="n">
        <v>46220</v>
      </c>
      <c r="F315" t="inlineStr">
        <is>
          <t>VÄSTERBOTTENS LÄN</t>
        </is>
      </c>
      <c r="G315" t="inlineStr">
        <is>
          <t>SORSELE</t>
        </is>
      </c>
      <c r="H315" t="inlineStr">
        <is>
          <t>Sveaskog</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62752-2022</t>
        </is>
      </c>
      <c r="B316" t="inlineStr">
        <is>
          <t>avverkningsanmälan</t>
        </is>
      </c>
      <c r="C316" t="inlineStr">
        <is>
          <t>Föryngringsavverkning</t>
        </is>
      </c>
      <c r="D316" s="1" t="n">
        <v>44925</v>
      </c>
      <c r="E316" s="1" t="n">
        <v>46220</v>
      </c>
      <c r="F316" t="inlineStr">
        <is>
          <t>VÄSTERBOTTENS LÄN</t>
        </is>
      </c>
      <c r="G316" t="inlineStr">
        <is>
          <t>SORSELE</t>
        </is>
      </c>
      <c r="H316" t="inlineStr">
        <is>
          <t>SCA</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58669-2022</t>
        </is>
      </c>
      <c r="B317" t="inlineStr">
        <is>
          <t>avverkningsanmälan</t>
        </is>
      </c>
      <c r="C317" t="inlineStr">
        <is>
          <t>Föryngringsavverkning</t>
        </is>
      </c>
      <c r="D317" s="1" t="n">
        <v>44895</v>
      </c>
      <c r="E317" s="1" t="n">
        <v>46220</v>
      </c>
      <c r="F317" t="inlineStr">
        <is>
          <t>VÄSTERBOTTENS LÄN</t>
        </is>
      </c>
      <c r="G317" t="inlineStr">
        <is>
          <t>SORSELE</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11646-2023</t>
        </is>
      </c>
      <c r="B318" t="inlineStr">
        <is>
          <t>avverkningsanmälan</t>
        </is>
      </c>
      <c r="C318" t="inlineStr">
        <is>
          <t>Föryngringsavverkning</t>
        </is>
      </c>
      <c r="D318" s="1" t="n">
        <v>44992</v>
      </c>
      <c r="E318" s="1" t="n">
        <v>46220</v>
      </c>
      <c r="F318" t="inlineStr">
        <is>
          <t>VÄSTERBOTTENS LÄN</t>
        </is>
      </c>
      <c r="G318" t="inlineStr">
        <is>
          <t>SORSELE</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30449-2026</t>
        </is>
      </c>
      <c r="B319" t="inlineStr">
        <is>
          <t>avverkningsanmälan</t>
        </is>
      </c>
      <c r="C319" t="inlineStr">
        <is>
          <t>Avverkning för annat ändamål</t>
        </is>
      </c>
      <c r="D319" s="1" t="n">
        <v>46209</v>
      </c>
      <c r="E319" s="1" t="n">
        <v>46220</v>
      </c>
      <c r="F319" t="inlineStr">
        <is>
          <t>VÄSTERBOTTENS LÄN</t>
        </is>
      </c>
      <c r="G319" t="inlineStr">
        <is>
          <t>SORSELE</t>
        </is>
      </c>
      <c r="H319" t="inlineStr">
        <is>
          <t>Sveaskog</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30082-2026</t>
        </is>
      </c>
      <c r="B320" t="inlineStr">
        <is>
          <t>avverkningsanmälan</t>
        </is>
      </c>
      <c r="C320" t="inlineStr">
        <is>
          <t>Föryngringsavverkning</t>
        </is>
      </c>
      <c r="D320" s="1" t="n">
        <v>46205</v>
      </c>
      <c r="E320" s="1" t="n">
        <v>46220</v>
      </c>
      <c r="F320" t="inlineStr">
        <is>
          <t>VÄSTERBOTTENS LÄN</t>
        </is>
      </c>
      <c r="G320" t="inlineStr">
        <is>
          <t>SORSELE</t>
        </is>
      </c>
      <c r="I320" t="n">
        <v>4.2</v>
      </c>
      <c r="J320" t="n">
        <v>0</v>
      </c>
      <c r="K320" t="n">
        <v>0</v>
      </c>
      <c r="L320" t="n">
        <v>0</v>
      </c>
      <c r="M320" t="n">
        <v>0</v>
      </c>
      <c r="N320" t="n">
        <v>0</v>
      </c>
      <c r="O320" t="n">
        <v>0</v>
      </c>
      <c r="P320" t="n">
        <v>0</v>
      </c>
      <c r="Q320" t="n">
        <v>0</v>
      </c>
      <c r="R320" t="n">
        <v>0</v>
      </c>
      <c r="S320" t="n">
        <v>0</v>
      </c>
      <c r="T320" t="n">
        <v>0</v>
      </c>
      <c r="U320" s="2" t="inlineStr"/>
    </row>
    <row r="321" ht="15" customHeight="1">
      <c r="A321" t="inlineStr">
        <is>
          <t>A 23721-2026</t>
        </is>
      </c>
      <c r="B321" t="inlineStr">
        <is>
          <t>avverkningsanmälan</t>
        </is>
      </c>
      <c r="C321" t="inlineStr">
        <is>
          <t>Föryngringsavverkning</t>
        </is>
      </c>
      <c r="D321" s="1" t="n">
        <v>46164</v>
      </c>
      <c r="E321" s="1" t="n">
        <v>46220</v>
      </c>
      <c r="F321" t="inlineStr">
        <is>
          <t>VÄSTERBOTTENS LÄN</t>
        </is>
      </c>
      <c r="G321" t="inlineStr">
        <is>
          <t>SORSELE</t>
        </is>
      </c>
      <c r="H321" t="inlineStr">
        <is>
          <t>SCA</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9784-2023</t>
        </is>
      </c>
      <c r="B322" t="inlineStr">
        <is>
          <t>avverkningsanmälan</t>
        </is>
      </c>
      <c r="C322" t="inlineStr">
        <is>
          <t>Föryngringsavverkning</t>
        </is>
      </c>
      <c r="D322" s="1" t="n">
        <v>44984</v>
      </c>
      <c r="E322" s="1" t="n">
        <v>46220</v>
      </c>
      <c r="F322" t="inlineStr">
        <is>
          <t>VÄSTERBOTTENS LÄN</t>
        </is>
      </c>
      <c r="G322" t="inlineStr">
        <is>
          <t>SORSELE</t>
        </is>
      </c>
      <c r="I322" t="n">
        <v>9.800000000000001</v>
      </c>
      <c r="J322" t="n">
        <v>0</v>
      </c>
      <c r="K322" t="n">
        <v>0</v>
      </c>
      <c r="L322" t="n">
        <v>0</v>
      </c>
      <c r="M322" t="n">
        <v>0</v>
      </c>
      <c r="N322" t="n">
        <v>0</v>
      </c>
      <c r="O322" t="n">
        <v>0</v>
      </c>
      <c r="P322" t="n">
        <v>0</v>
      </c>
      <c r="Q322" t="n">
        <v>0</v>
      </c>
      <c r="R322" t="n">
        <v>0</v>
      </c>
      <c r="S322" t="n">
        <v>0</v>
      </c>
      <c r="T322" t="n">
        <v>0</v>
      </c>
      <c r="U322" s="2" t="inlineStr"/>
    </row>
    <row r="323" ht="15" customHeight="1">
      <c r="A323" t="inlineStr">
        <is>
          <t>A 38947-2024</t>
        </is>
      </c>
      <c r="B323" t="inlineStr">
        <is>
          <t>avverkningsanmälan</t>
        </is>
      </c>
      <c r="C323" t="inlineStr">
        <is>
          <t>Föryngringsavverkning</t>
        </is>
      </c>
      <c r="D323" s="1" t="n">
        <v>45548</v>
      </c>
      <c r="E323" s="1" t="n">
        <v>46220</v>
      </c>
      <c r="F323" t="inlineStr">
        <is>
          <t>VÄSTERBOTTENS LÄN</t>
        </is>
      </c>
      <c r="G323" t="inlineStr">
        <is>
          <t>SORSELE</t>
        </is>
      </c>
      <c r="H323" t="inlineStr">
        <is>
          <t>SCA</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26038-2025</t>
        </is>
      </c>
      <c r="B324" t="inlineStr">
        <is>
          <t>avverkningsanmälan</t>
        </is>
      </c>
      <c r="C324" t="inlineStr">
        <is>
          <t>Föryngringsavverkning</t>
        </is>
      </c>
      <c r="D324" s="1" t="n">
        <v>45804</v>
      </c>
      <c r="E324" s="1" t="n">
        <v>46220</v>
      </c>
      <c r="F324" t="inlineStr">
        <is>
          <t>VÄSTERBOTTENS LÄN</t>
        </is>
      </c>
      <c r="G324" t="inlineStr">
        <is>
          <t>SORSELE</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21564-2026</t>
        </is>
      </c>
      <c r="B325" t="inlineStr">
        <is>
          <t>avverkningsanmälan</t>
        </is>
      </c>
      <c r="C325" t="inlineStr">
        <is>
          <t>Föryngringsavverkning</t>
        </is>
      </c>
      <c r="D325" s="1" t="n">
        <v>46148</v>
      </c>
      <c r="E325" s="1" t="n">
        <v>46220</v>
      </c>
      <c r="F325" t="inlineStr">
        <is>
          <t>VÄSTERBOTTENS LÄN</t>
        </is>
      </c>
      <c r="G325" t="inlineStr">
        <is>
          <t>SORSELE</t>
        </is>
      </c>
      <c r="I325" t="n">
        <v>8.5</v>
      </c>
      <c r="J325" t="n">
        <v>0</v>
      </c>
      <c r="K325" t="n">
        <v>0</v>
      </c>
      <c r="L325" t="n">
        <v>0</v>
      </c>
      <c r="M325" t="n">
        <v>0</v>
      </c>
      <c r="N325" t="n">
        <v>0</v>
      </c>
      <c r="O325" t="n">
        <v>0</v>
      </c>
      <c r="P325" t="n">
        <v>0</v>
      </c>
      <c r="Q325" t="n">
        <v>0</v>
      </c>
      <c r="R325" t="n">
        <v>0</v>
      </c>
      <c r="S325" t="n">
        <v>0</v>
      </c>
      <c r="T325" t="n">
        <v>0</v>
      </c>
      <c r="U325" s="2" t="inlineStr"/>
    </row>
    <row r="326" ht="15" customHeight="1">
      <c r="A326" t="inlineStr">
        <is>
          <t>A 24293-2026</t>
        </is>
      </c>
      <c r="B326" t="inlineStr">
        <is>
          <t>avverkningsanmälan</t>
        </is>
      </c>
      <c r="C326" t="inlineStr">
        <is>
          <t>Föryngringsavverkning</t>
        </is>
      </c>
      <c r="D326" s="1" t="n">
        <v>46169</v>
      </c>
      <c r="E326" s="1" t="n">
        <v>46220</v>
      </c>
      <c r="F326" t="inlineStr">
        <is>
          <t>VÄSTERBOTTENS LÄN</t>
        </is>
      </c>
      <c r="G326" t="inlineStr">
        <is>
          <t>SORSELE</t>
        </is>
      </c>
      <c r="I326" t="n">
        <v>6</v>
      </c>
      <c r="J326" t="n">
        <v>0</v>
      </c>
      <c r="K326" t="n">
        <v>0</v>
      </c>
      <c r="L326" t="n">
        <v>0</v>
      </c>
      <c r="M326" t="n">
        <v>0</v>
      </c>
      <c r="N326" t="n">
        <v>0</v>
      </c>
      <c r="O326" t="n">
        <v>0</v>
      </c>
      <c r="P326" t="n">
        <v>0</v>
      </c>
      <c r="Q326" t="n">
        <v>0</v>
      </c>
      <c r="R326" t="n">
        <v>0</v>
      </c>
      <c r="S326" t="n">
        <v>0</v>
      </c>
      <c r="T326" t="n">
        <v>0</v>
      </c>
      <c r="U326" s="2" t="inlineStr"/>
    </row>
    <row r="327" ht="15" customHeight="1">
      <c r="A327" t="inlineStr">
        <is>
          <t>A 30132-2026</t>
        </is>
      </c>
      <c r="B327" t="inlineStr">
        <is>
          <t>avverkningsanmälan</t>
        </is>
      </c>
      <c r="C327" t="inlineStr">
        <is>
          <t>Föryngringsavverkning</t>
        </is>
      </c>
      <c r="D327" s="1" t="n">
        <v>46205</v>
      </c>
      <c r="E327" s="1" t="n">
        <v>46220</v>
      </c>
      <c r="F327" t="inlineStr">
        <is>
          <t>VÄSTERBOTTENS LÄN</t>
        </is>
      </c>
      <c r="G327" t="inlineStr">
        <is>
          <t>SORSELE</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31101-2026</t>
        </is>
      </c>
      <c r="B328" t="inlineStr">
        <is>
          <t>avverkningsanmälan</t>
        </is>
      </c>
      <c r="C328" t="inlineStr">
        <is>
          <t>Föryngringsavverkning</t>
        </is>
      </c>
      <c r="D328" s="1" t="n">
        <v>46216</v>
      </c>
      <c r="E328" s="1" t="n">
        <v>46220</v>
      </c>
      <c r="F328" t="inlineStr">
        <is>
          <t>VÄSTERBOTTENS LÄN</t>
        </is>
      </c>
      <c r="G328" t="inlineStr">
        <is>
          <t>SORSELE</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21590-2023</t>
        </is>
      </c>
      <c r="B329" t="inlineStr">
        <is>
          <t>avverkningsanmälan</t>
        </is>
      </c>
      <c r="C329" t="inlineStr">
        <is>
          <t>Föryngringsavverkning</t>
        </is>
      </c>
      <c r="D329" s="1" t="n">
        <v>45063</v>
      </c>
      <c r="E329" s="1" t="n">
        <v>46220</v>
      </c>
      <c r="F329" t="inlineStr">
        <is>
          <t>VÄSTERBOTTENS LÄN</t>
        </is>
      </c>
      <c r="G329" t="inlineStr">
        <is>
          <t>SORSELE</t>
        </is>
      </c>
      <c r="I329" t="n">
        <v>54.1</v>
      </c>
      <c r="J329" t="n">
        <v>0</v>
      </c>
      <c r="K329" t="n">
        <v>0</v>
      </c>
      <c r="L329" t="n">
        <v>0</v>
      </c>
      <c r="M329" t="n">
        <v>0</v>
      </c>
      <c r="N329" t="n">
        <v>0</v>
      </c>
      <c r="O329" t="n">
        <v>0</v>
      </c>
      <c r="P329" t="n">
        <v>0</v>
      </c>
      <c r="Q329" t="n">
        <v>0</v>
      </c>
      <c r="R329" t="n">
        <v>0</v>
      </c>
      <c r="S329" t="n">
        <v>0</v>
      </c>
      <c r="T329" t="n">
        <v>0</v>
      </c>
      <c r="U329" s="2" t="inlineStr"/>
    </row>
    <row r="330" ht="15" customHeight="1">
      <c r="A330" t="inlineStr">
        <is>
          <t>A 58247-2022</t>
        </is>
      </c>
      <c r="B330" t="inlineStr">
        <is>
          <t>avverkningsanmälan</t>
        </is>
      </c>
      <c r="C330" t="inlineStr">
        <is>
          <t>Föryngringsavverkning</t>
        </is>
      </c>
      <c r="D330" s="1" t="n">
        <v>44893</v>
      </c>
      <c r="E330" s="1" t="n">
        <v>46220</v>
      </c>
      <c r="F330" t="inlineStr">
        <is>
          <t>VÄSTERBOTTENS LÄN</t>
        </is>
      </c>
      <c r="G330" t="inlineStr">
        <is>
          <t>SORSELE</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1645-2024</t>
        </is>
      </c>
      <c r="B331" t="inlineStr">
        <is>
          <t>avverkningsanmälan</t>
        </is>
      </c>
      <c r="C331" t="inlineStr">
        <is>
          <t>Föryngringsavverkning</t>
        </is>
      </c>
      <c r="D331" s="1" t="n">
        <v>45306</v>
      </c>
      <c r="E331" s="1" t="n">
        <v>46220</v>
      </c>
      <c r="F331" t="inlineStr">
        <is>
          <t>VÄSTERBOTTENS LÄN</t>
        </is>
      </c>
      <c r="G331" t="inlineStr">
        <is>
          <t>SORSELE</t>
        </is>
      </c>
      <c r="I331" t="n">
        <v>49.3</v>
      </c>
      <c r="J331" t="n">
        <v>0</v>
      </c>
      <c r="K331" t="n">
        <v>0</v>
      </c>
      <c r="L331" t="n">
        <v>0</v>
      </c>
      <c r="M331" t="n">
        <v>0</v>
      </c>
      <c r="N331" t="n">
        <v>0</v>
      </c>
      <c r="O331" t="n">
        <v>0</v>
      </c>
      <c r="P331" t="n">
        <v>0</v>
      </c>
      <c r="Q331" t="n">
        <v>0</v>
      </c>
      <c r="R331" t="n">
        <v>0</v>
      </c>
      <c r="S331" t="n">
        <v>0</v>
      </c>
      <c r="T331" t="n">
        <v>0</v>
      </c>
      <c r="U331" s="2" t="inlineStr"/>
    </row>
    <row r="332" ht="15" customHeight="1">
      <c r="A332" t="inlineStr">
        <is>
          <t>A 33638-2024</t>
        </is>
      </c>
      <c r="B332" t="inlineStr">
        <is>
          <t>avverkningsanmälan</t>
        </is>
      </c>
      <c r="C332" t="inlineStr">
        <is>
          <t>Föryngringsavverkning</t>
        </is>
      </c>
      <c r="D332" s="1" t="n">
        <v>45520</v>
      </c>
      <c r="E332" s="1" t="n">
        <v>46220</v>
      </c>
      <c r="F332" t="inlineStr">
        <is>
          <t>VÄSTERBOTTENS LÄN</t>
        </is>
      </c>
      <c r="G332" t="inlineStr">
        <is>
          <t>SORSELE</t>
        </is>
      </c>
      <c r="H332" t="inlineStr">
        <is>
          <t>Sveaskog</t>
        </is>
      </c>
      <c r="I332" t="n">
        <v>3.1</v>
      </c>
      <c r="J332" t="n">
        <v>0</v>
      </c>
      <c r="K332" t="n">
        <v>0</v>
      </c>
      <c r="L332" t="n">
        <v>0</v>
      </c>
      <c r="M332" t="n">
        <v>0</v>
      </c>
      <c r="N332" t="n">
        <v>0</v>
      </c>
      <c r="O332" t="n">
        <v>0</v>
      </c>
      <c r="P332" t="n">
        <v>0</v>
      </c>
      <c r="Q332" t="n">
        <v>0</v>
      </c>
      <c r="R332" t="n">
        <v>0</v>
      </c>
      <c r="S332" t="n">
        <v>0</v>
      </c>
      <c r="T332" t="n">
        <v>0</v>
      </c>
      <c r="U332" s="2" t="inlineStr"/>
    </row>
    <row r="333" ht="15" customHeight="1">
      <c r="A333" t="inlineStr">
        <is>
          <t>A 33648-2024</t>
        </is>
      </c>
      <c r="B333" t="inlineStr">
        <is>
          <t>avverkningsanmälan</t>
        </is>
      </c>
      <c r="C333" t="inlineStr">
        <is>
          <t>Föryngringsavverkning</t>
        </is>
      </c>
      <c r="D333" s="1" t="n">
        <v>45520</v>
      </c>
      <c r="E333" s="1" t="n">
        <v>46220</v>
      </c>
      <c r="F333" t="inlineStr">
        <is>
          <t>VÄSTERBOTTENS LÄN</t>
        </is>
      </c>
      <c r="G333" t="inlineStr">
        <is>
          <t>SORSELE</t>
        </is>
      </c>
      <c r="H333" t="inlineStr">
        <is>
          <t>Sveaskog</t>
        </is>
      </c>
      <c r="I333" t="n">
        <v>3.2</v>
      </c>
      <c r="J333" t="n">
        <v>0</v>
      </c>
      <c r="K333" t="n">
        <v>0</v>
      </c>
      <c r="L333" t="n">
        <v>0</v>
      </c>
      <c r="M333" t="n">
        <v>0</v>
      </c>
      <c r="N333" t="n">
        <v>0</v>
      </c>
      <c r="O333" t="n">
        <v>0</v>
      </c>
      <c r="P333" t="n">
        <v>0</v>
      </c>
      <c r="Q333" t="n">
        <v>0</v>
      </c>
      <c r="R333" t="n">
        <v>0</v>
      </c>
      <c r="S333" t="n">
        <v>0</v>
      </c>
      <c r="T333" t="n">
        <v>0</v>
      </c>
      <c r="U333" s="2" t="inlineStr"/>
    </row>
    <row r="334" ht="15" customHeight="1">
      <c r="A334" t="inlineStr">
        <is>
          <t>A 57229-2025</t>
        </is>
      </c>
      <c r="B334" t="inlineStr">
        <is>
          <t>avverkningsanmälan</t>
        </is>
      </c>
      <c r="C334" t="inlineStr">
        <is>
          <t>Föryngringsavverkning</t>
        </is>
      </c>
      <c r="D334" s="1" t="n">
        <v>45979</v>
      </c>
      <c r="E334" s="1" t="n">
        <v>46220</v>
      </c>
      <c r="F334" t="inlineStr">
        <is>
          <t>VÄSTERBOTTENS LÄN</t>
        </is>
      </c>
      <c r="G334" t="inlineStr">
        <is>
          <t>SORSELE</t>
        </is>
      </c>
      <c r="I334" t="n">
        <v>4.9</v>
      </c>
      <c r="J334" t="n">
        <v>0</v>
      </c>
      <c r="K334" t="n">
        <v>0</v>
      </c>
      <c r="L334" t="n">
        <v>0</v>
      </c>
      <c r="M334" t="n">
        <v>0</v>
      </c>
      <c r="N334" t="n">
        <v>0</v>
      </c>
      <c r="O334" t="n">
        <v>0</v>
      </c>
      <c r="P334" t="n">
        <v>0</v>
      </c>
      <c r="Q334" t="n">
        <v>0</v>
      </c>
      <c r="R334" t="n">
        <v>0</v>
      </c>
      <c r="S334" t="n">
        <v>0</v>
      </c>
      <c r="T334" t="n">
        <v>0</v>
      </c>
      <c r="U334" s="2" t="inlineStr"/>
    </row>
    <row r="335" ht="15" customHeight="1">
      <c r="A335" t="inlineStr">
        <is>
          <t>A 25122-2026</t>
        </is>
      </c>
      <c r="B335" t="inlineStr">
        <is>
          <t>avverkningsanmälan</t>
        </is>
      </c>
      <c r="C335" t="inlineStr">
        <is>
          <t>Föryngringsavverkning</t>
        </is>
      </c>
      <c r="D335" s="1" t="n">
        <v>46175</v>
      </c>
      <c r="E335" s="1" t="n">
        <v>46220</v>
      </c>
      <c r="F335" t="inlineStr">
        <is>
          <t>VÄSTERBOTTENS LÄN</t>
        </is>
      </c>
      <c r="G335" t="inlineStr">
        <is>
          <t>SORSELE</t>
        </is>
      </c>
      <c r="I335" t="n">
        <v>8.4</v>
      </c>
      <c r="J335" t="n">
        <v>0</v>
      </c>
      <c r="K335" t="n">
        <v>0</v>
      </c>
      <c r="L335" t="n">
        <v>0</v>
      </c>
      <c r="M335" t="n">
        <v>0</v>
      </c>
      <c r="N335" t="n">
        <v>0</v>
      </c>
      <c r="O335" t="n">
        <v>0</v>
      </c>
      <c r="P335" t="n">
        <v>0</v>
      </c>
      <c r="Q335" t="n">
        <v>0</v>
      </c>
      <c r="R335" t="n">
        <v>0</v>
      </c>
      <c r="S335" t="n">
        <v>0</v>
      </c>
      <c r="T335" t="n">
        <v>0</v>
      </c>
      <c r="U335" s="2" t="inlineStr"/>
    </row>
    <row r="336" ht="15" customHeight="1">
      <c r="A336" t="inlineStr">
        <is>
          <t>A 30742-2026</t>
        </is>
      </c>
      <c r="B336" t="inlineStr">
        <is>
          <t>avverkningsanmälan</t>
        </is>
      </c>
      <c r="C336" t="inlineStr">
        <is>
          <t>Föryngringsavverkning</t>
        </is>
      </c>
      <c r="D336" s="1" t="n">
        <v>46211</v>
      </c>
      <c r="E336" s="1" t="n">
        <v>46220</v>
      </c>
      <c r="F336" t="inlineStr">
        <is>
          <t>VÄSTERBOTTENS LÄN</t>
        </is>
      </c>
      <c r="G336" t="inlineStr">
        <is>
          <t>SORSELE</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30736-2026</t>
        </is>
      </c>
      <c r="B337" t="inlineStr">
        <is>
          <t>avverkningsanmälan</t>
        </is>
      </c>
      <c r="C337" t="inlineStr">
        <is>
          <t>Föryngringsavverkning</t>
        </is>
      </c>
      <c r="D337" s="1" t="n">
        <v>46211</v>
      </c>
      <c r="E337" s="1" t="n">
        <v>46220</v>
      </c>
      <c r="F337" t="inlineStr">
        <is>
          <t>VÄSTERBOTTENS LÄN</t>
        </is>
      </c>
      <c r="G337" t="inlineStr">
        <is>
          <t>SORSELE</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30733-2026</t>
        </is>
      </c>
      <c r="B338" t="inlineStr">
        <is>
          <t>avverkningsanmälan</t>
        </is>
      </c>
      <c r="C338" t="inlineStr">
        <is>
          <t>Föryngringsavverkning</t>
        </is>
      </c>
      <c r="D338" s="1" t="n">
        <v>46211</v>
      </c>
      <c r="E338" s="1" t="n">
        <v>46220</v>
      </c>
      <c r="F338" t="inlineStr">
        <is>
          <t>VÄSTERBOTTENS LÄN</t>
        </is>
      </c>
      <c r="G338" t="inlineStr">
        <is>
          <t>SORSELE</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25187-2026</t>
        </is>
      </c>
      <c r="B339" t="inlineStr">
        <is>
          <t>avverkningsanmälan</t>
        </is>
      </c>
      <c r="C339" t="inlineStr">
        <is>
          <t>Föryngringsavverkning</t>
        </is>
      </c>
      <c r="D339" s="1" t="n">
        <v>46175</v>
      </c>
      <c r="E339" s="1" t="n">
        <v>46220</v>
      </c>
      <c r="F339" t="inlineStr">
        <is>
          <t>VÄSTERBOTTENS LÄN</t>
        </is>
      </c>
      <c r="G339" t="inlineStr">
        <is>
          <t>SORSELE</t>
        </is>
      </c>
      <c r="H339" t="inlineStr">
        <is>
          <t>SCA</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30739-2026</t>
        </is>
      </c>
      <c r="B340" t="inlineStr">
        <is>
          <t>avverkningsanmälan</t>
        </is>
      </c>
      <c r="C340" t="inlineStr">
        <is>
          <t>Föryngringsavverkning</t>
        </is>
      </c>
      <c r="D340" s="1" t="n">
        <v>46211</v>
      </c>
      <c r="E340" s="1" t="n">
        <v>46220</v>
      </c>
      <c r="F340" t="inlineStr">
        <is>
          <t>VÄSTERBOTTENS LÄN</t>
        </is>
      </c>
      <c r="G340" t="inlineStr">
        <is>
          <t>SORSELE</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30779-2026</t>
        </is>
      </c>
      <c r="B341" t="inlineStr">
        <is>
          <t>avverkningsanmälan</t>
        </is>
      </c>
      <c r="C341" t="inlineStr">
        <is>
          <t>Föryngringsavverkning</t>
        </is>
      </c>
      <c r="D341" s="1" t="n">
        <v>46212</v>
      </c>
      <c r="E341" s="1" t="n">
        <v>46220</v>
      </c>
      <c r="F341" t="inlineStr">
        <is>
          <t>VÄSTERBOTTENS LÄN</t>
        </is>
      </c>
      <c r="G341" t="inlineStr">
        <is>
          <t>SORSELE</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8472-2025</t>
        </is>
      </c>
      <c r="B342" t="inlineStr">
        <is>
          <t>avverkningsanmälan</t>
        </is>
      </c>
      <c r="C342" t="inlineStr">
        <is>
          <t>Avverkning för annat ändamål</t>
        </is>
      </c>
      <c r="D342" s="1" t="n">
        <v>45709</v>
      </c>
      <c r="E342" s="1" t="n">
        <v>46220</v>
      </c>
      <c r="F342" t="inlineStr">
        <is>
          <t>VÄSTERBOTTENS LÄN</t>
        </is>
      </c>
      <c r="G342" t="inlineStr">
        <is>
          <t>SORSELE</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25374-2022</t>
        </is>
      </c>
      <c r="B343" t="inlineStr">
        <is>
          <t>avverkningsanmälan</t>
        </is>
      </c>
      <c r="C343" t="inlineStr">
        <is>
          <t>Föryngringsavverkning</t>
        </is>
      </c>
      <c r="D343" s="1" t="n">
        <v>44731</v>
      </c>
      <c r="E343" s="1" t="n">
        <v>46220</v>
      </c>
      <c r="F343" t="inlineStr">
        <is>
          <t>VÄSTERBOTTENS LÄN</t>
        </is>
      </c>
      <c r="G343" t="inlineStr">
        <is>
          <t>SORSELE</t>
        </is>
      </c>
      <c r="I343" t="n">
        <v>37.1</v>
      </c>
      <c r="J343" t="n">
        <v>0</v>
      </c>
      <c r="K343" t="n">
        <v>0</v>
      </c>
      <c r="L343" t="n">
        <v>0</v>
      </c>
      <c r="M343" t="n">
        <v>0</v>
      </c>
      <c r="N343" t="n">
        <v>0</v>
      </c>
      <c r="O343" t="n">
        <v>0</v>
      </c>
      <c r="P343" t="n">
        <v>0</v>
      </c>
      <c r="Q343" t="n">
        <v>0</v>
      </c>
      <c r="R343" t="n">
        <v>0</v>
      </c>
      <c r="S343" t="n">
        <v>0</v>
      </c>
      <c r="T343" t="n">
        <v>0</v>
      </c>
      <c r="U343" s="2" t="inlineStr"/>
    </row>
    <row r="344" ht="15" customHeight="1">
      <c r="A344" t="inlineStr">
        <is>
          <t>A 69458-2021</t>
        </is>
      </c>
      <c r="B344" t="inlineStr">
        <is>
          <t>avverkningsanmälan</t>
        </is>
      </c>
      <c r="C344" t="inlineStr">
        <is>
          <t>Avverkning för annat ändamål</t>
        </is>
      </c>
      <c r="D344" s="1" t="n">
        <v>44531</v>
      </c>
      <c r="E344" s="1" t="n">
        <v>46220</v>
      </c>
      <c r="F344" t="inlineStr">
        <is>
          <t>VÄSTERBOTTENS LÄN</t>
        </is>
      </c>
      <c r="G344" t="inlineStr">
        <is>
          <t>SORSELE</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1013-2023</t>
        </is>
      </c>
      <c r="B345" t="inlineStr">
        <is>
          <t>avverkningsanmälan</t>
        </is>
      </c>
      <c r="C345" t="inlineStr">
        <is>
          <t>Föryngringsavverkning</t>
        </is>
      </c>
      <c r="D345" s="1" t="n">
        <v>44935</v>
      </c>
      <c r="E345" s="1" t="n">
        <v>46220</v>
      </c>
      <c r="F345" t="inlineStr">
        <is>
          <t>VÄSTERBOTTENS LÄN</t>
        </is>
      </c>
      <c r="G345" t="inlineStr">
        <is>
          <t>SORSELE</t>
        </is>
      </c>
      <c r="I345" t="n">
        <v>5.2</v>
      </c>
      <c r="J345" t="n">
        <v>0</v>
      </c>
      <c r="K345" t="n">
        <v>0</v>
      </c>
      <c r="L345" t="n">
        <v>0</v>
      </c>
      <c r="M345" t="n">
        <v>0</v>
      </c>
      <c r="N345" t="n">
        <v>0</v>
      </c>
      <c r="O345" t="n">
        <v>0</v>
      </c>
      <c r="P345" t="n">
        <v>0</v>
      </c>
      <c r="Q345" t="n">
        <v>0</v>
      </c>
      <c r="R345" t="n">
        <v>0</v>
      </c>
      <c r="S345" t="n">
        <v>0</v>
      </c>
      <c r="T345" t="n">
        <v>0</v>
      </c>
      <c r="U345" s="2" t="inlineStr"/>
    </row>
    <row r="346" ht="15" customHeight="1">
      <c r="A346" t="inlineStr">
        <is>
          <t>A 44132-2023</t>
        </is>
      </c>
      <c r="B346" t="inlineStr">
        <is>
          <t>avverkningsanmälan</t>
        </is>
      </c>
      <c r="C346" t="inlineStr">
        <is>
          <t>Föryngringsavverkning</t>
        </is>
      </c>
      <c r="D346" s="1" t="n">
        <v>45182</v>
      </c>
      <c r="E346" s="1" t="n">
        <v>46220</v>
      </c>
      <c r="F346" t="inlineStr">
        <is>
          <t>VÄSTERBOTTENS LÄN</t>
        </is>
      </c>
      <c r="G346" t="inlineStr">
        <is>
          <t>SORSELE</t>
        </is>
      </c>
      <c r="I346" t="n">
        <v>7.1</v>
      </c>
      <c r="J346" t="n">
        <v>0</v>
      </c>
      <c r="K346" t="n">
        <v>0</v>
      </c>
      <c r="L346" t="n">
        <v>0</v>
      </c>
      <c r="M346" t="n">
        <v>0</v>
      </c>
      <c r="N346" t="n">
        <v>0</v>
      </c>
      <c r="O346" t="n">
        <v>0</v>
      </c>
      <c r="P346" t="n">
        <v>0</v>
      </c>
      <c r="Q346" t="n">
        <v>0</v>
      </c>
      <c r="R346" t="n">
        <v>0</v>
      </c>
      <c r="S346" t="n">
        <v>0</v>
      </c>
      <c r="T346" t="n">
        <v>0</v>
      </c>
      <c r="U346" s="2" t="inlineStr"/>
    </row>
    <row r="347" ht="15" customHeight="1">
      <c r="A347" t="inlineStr">
        <is>
          <t>A 6224-2025</t>
        </is>
      </c>
      <c r="B347" t="inlineStr">
        <is>
          <t>avverkningsanmälan</t>
        </is>
      </c>
      <c r="C347" t="inlineStr">
        <is>
          <t>Föryngringsavverkning</t>
        </is>
      </c>
      <c r="D347" s="1" t="n">
        <v>45697</v>
      </c>
      <c r="E347" s="1" t="n">
        <v>46220</v>
      </c>
      <c r="F347" t="inlineStr">
        <is>
          <t>VÄSTERBOTTENS LÄN</t>
        </is>
      </c>
      <c r="G347" t="inlineStr">
        <is>
          <t>SORSELE</t>
        </is>
      </c>
      <c r="I347" t="n">
        <v>4.6</v>
      </c>
      <c r="J347" t="n">
        <v>0</v>
      </c>
      <c r="K347" t="n">
        <v>0</v>
      </c>
      <c r="L347" t="n">
        <v>0</v>
      </c>
      <c r="M347" t="n">
        <v>0</v>
      </c>
      <c r="N347" t="n">
        <v>0</v>
      </c>
      <c r="O347" t="n">
        <v>0</v>
      </c>
      <c r="P347" t="n">
        <v>0</v>
      </c>
      <c r="Q347" t="n">
        <v>0</v>
      </c>
      <c r="R347" t="n">
        <v>0</v>
      </c>
      <c r="S347" t="n">
        <v>0</v>
      </c>
      <c r="T347" t="n">
        <v>0</v>
      </c>
      <c r="U347" s="2" t="inlineStr"/>
    </row>
    <row r="348" ht="15" customHeight="1">
      <c r="A348" t="inlineStr">
        <is>
          <t>A 58670-2024</t>
        </is>
      </c>
      <c r="B348" t="inlineStr">
        <is>
          <t>avverkningsanmälan</t>
        </is>
      </c>
      <c r="C348" t="inlineStr">
        <is>
          <t>Föryngringsavverkning</t>
        </is>
      </c>
      <c r="D348" s="1" t="n">
        <v>45634</v>
      </c>
      <c r="E348" s="1" t="n">
        <v>46220</v>
      </c>
      <c r="F348" t="inlineStr">
        <is>
          <t>VÄSTERBOTTENS LÄN</t>
        </is>
      </c>
      <c r="G348" t="inlineStr">
        <is>
          <t>SORSELE</t>
        </is>
      </c>
      <c r="I348" t="n">
        <v>10.3</v>
      </c>
      <c r="J348" t="n">
        <v>0</v>
      </c>
      <c r="K348" t="n">
        <v>0</v>
      </c>
      <c r="L348" t="n">
        <v>0</v>
      </c>
      <c r="M348" t="n">
        <v>0</v>
      </c>
      <c r="N348" t="n">
        <v>0</v>
      </c>
      <c r="O348" t="n">
        <v>0</v>
      </c>
      <c r="P348" t="n">
        <v>0</v>
      </c>
      <c r="Q348" t="n">
        <v>0</v>
      </c>
      <c r="R348" t="n">
        <v>0</v>
      </c>
      <c r="S348" t="n">
        <v>0</v>
      </c>
      <c r="T348" t="n">
        <v>0</v>
      </c>
      <c r="U348" s="2" t="inlineStr"/>
    </row>
    <row r="349" ht="15" customHeight="1">
      <c r="A349" t="inlineStr">
        <is>
          <t>A 11634-2023</t>
        </is>
      </c>
      <c r="B349" t="inlineStr">
        <is>
          <t>avverkningsanmälan</t>
        </is>
      </c>
      <c r="C349" t="inlineStr">
        <is>
          <t>Föryngringsavverkning</t>
        </is>
      </c>
      <c r="D349" s="1" t="n">
        <v>44992</v>
      </c>
      <c r="E349" s="1" t="n">
        <v>46220</v>
      </c>
      <c r="F349" t="inlineStr">
        <is>
          <t>VÄSTERBOTTENS LÄN</t>
        </is>
      </c>
      <c r="G349" t="inlineStr">
        <is>
          <t>SORSELE</t>
        </is>
      </c>
      <c r="I349" t="n">
        <v>12.4</v>
      </c>
      <c r="J349" t="n">
        <v>0</v>
      </c>
      <c r="K349" t="n">
        <v>0</v>
      </c>
      <c r="L349" t="n">
        <v>0</v>
      </c>
      <c r="M349" t="n">
        <v>0</v>
      </c>
      <c r="N349" t="n">
        <v>0</v>
      </c>
      <c r="O349" t="n">
        <v>0</v>
      </c>
      <c r="P349" t="n">
        <v>0</v>
      </c>
      <c r="Q349" t="n">
        <v>0</v>
      </c>
      <c r="R349" t="n">
        <v>0</v>
      </c>
      <c r="S349" t="n">
        <v>0</v>
      </c>
      <c r="T349" t="n">
        <v>0</v>
      </c>
      <c r="U349" s="2" t="inlineStr"/>
    </row>
    <row r="350" ht="15" customHeight="1">
      <c r="A350" t="inlineStr">
        <is>
          <t>A 10133-2024</t>
        </is>
      </c>
      <c r="B350" t="inlineStr">
        <is>
          <t>avverkningsanmälan</t>
        </is>
      </c>
      <c r="C350" t="inlineStr">
        <is>
          <t>Föryngringsavverkning</t>
        </is>
      </c>
      <c r="D350" s="1" t="n">
        <v>45364</v>
      </c>
      <c r="E350" s="1" t="n">
        <v>46220</v>
      </c>
      <c r="F350" t="inlineStr">
        <is>
          <t>VÄSTERBOTTENS LÄN</t>
        </is>
      </c>
      <c r="G350" t="inlineStr">
        <is>
          <t>SORSELE</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15226-2024</t>
        </is>
      </c>
      <c r="B351" t="inlineStr">
        <is>
          <t>avverkningsanmälan</t>
        </is>
      </c>
      <c r="C351" t="inlineStr">
        <is>
          <t>Föryngringsavverkning</t>
        </is>
      </c>
      <c r="D351" s="1" t="n">
        <v>45400</v>
      </c>
      <c r="E351" s="1" t="n">
        <v>46220</v>
      </c>
      <c r="F351" t="inlineStr">
        <is>
          <t>VÄSTERBOTTENS LÄN</t>
        </is>
      </c>
      <c r="G351" t="inlineStr">
        <is>
          <t>SORSELE</t>
        </is>
      </c>
      <c r="I351" t="n">
        <v>4</v>
      </c>
      <c r="J351" t="n">
        <v>0</v>
      </c>
      <c r="K351" t="n">
        <v>0</v>
      </c>
      <c r="L351" t="n">
        <v>0</v>
      </c>
      <c r="M351" t="n">
        <v>0</v>
      </c>
      <c r="N351" t="n">
        <v>0</v>
      </c>
      <c r="O351" t="n">
        <v>0</v>
      </c>
      <c r="P351" t="n">
        <v>0</v>
      </c>
      <c r="Q351" t="n">
        <v>0</v>
      </c>
      <c r="R351" t="n">
        <v>0</v>
      </c>
      <c r="S351" t="n">
        <v>0</v>
      </c>
      <c r="T351" t="n">
        <v>0</v>
      </c>
      <c r="U351" s="2" t="inlineStr"/>
    </row>
    <row r="352" ht="15" customHeight="1">
      <c r="A352" t="inlineStr">
        <is>
          <t>A 64134-2023</t>
        </is>
      </c>
      <c r="B352" t="inlineStr">
        <is>
          <t>avverkningsanmälan</t>
        </is>
      </c>
      <c r="C352" t="inlineStr">
        <is>
          <t>Föryngringsavverkning</t>
        </is>
      </c>
      <c r="D352" s="1" t="n">
        <v>45279</v>
      </c>
      <c r="E352" s="1" t="n">
        <v>46220</v>
      </c>
      <c r="F352" t="inlineStr">
        <is>
          <t>VÄSTERBOTTENS LÄN</t>
        </is>
      </c>
      <c r="G352" t="inlineStr">
        <is>
          <t>SORSELE</t>
        </is>
      </c>
      <c r="I352" t="n">
        <v>10.3</v>
      </c>
      <c r="J352" t="n">
        <v>0</v>
      </c>
      <c r="K352" t="n">
        <v>0</v>
      </c>
      <c r="L352" t="n">
        <v>0</v>
      </c>
      <c r="M352" t="n">
        <v>0</v>
      </c>
      <c r="N352" t="n">
        <v>0</v>
      </c>
      <c r="O352" t="n">
        <v>0</v>
      </c>
      <c r="P352" t="n">
        <v>0</v>
      </c>
      <c r="Q352" t="n">
        <v>0</v>
      </c>
      <c r="R352" t="n">
        <v>0</v>
      </c>
      <c r="S352" t="n">
        <v>0</v>
      </c>
      <c r="T352" t="n">
        <v>0</v>
      </c>
      <c r="U352" s="2" t="inlineStr"/>
    </row>
    <row r="353" ht="15" customHeight="1">
      <c r="A353" t="inlineStr">
        <is>
          <t>A 59555-2022</t>
        </is>
      </c>
      <c r="B353" t="inlineStr">
        <is>
          <t>avverkningsanmälan</t>
        </is>
      </c>
      <c r="C353" t="inlineStr">
        <is>
          <t>Föryngringsavverkning</t>
        </is>
      </c>
      <c r="D353" s="1" t="n">
        <v>44900</v>
      </c>
      <c r="E353" s="1" t="n">
        <v>46220</v>
      </c>
      <c r="F353" t="inlineStr">
        <is>
          <t>VÄSTERBOTTENS LÄN</t>
        </is>
      </c>
      <c r="G353" t="inlineStr">
        <is>
          <t>SORSELE</t>
        </is>
      </c>
      <c r="I353" t="n">
        <v>3</v>
      </c>
      <c r="J353" t="n">
        <v>0</v>
      </c>
      <c r="K353" t="n">
        <v>0</v>
      </c>
      <c r="L353" t="n">
        <v>0</v>
      </c>
      <c r="M353" t="n">
        <v>0</v>
      </c>
      <c r="N353" t="n">
        <v>0</v>
      </c>
      <c r="O353" t="n">
        <v>0</v>
      </c>
      <c r="P353" t="n">
        <v>0</v>
      </c>
      <c r="Q353" t="n">
        <v>0</v>
      </c>
      <c r="R353" t="n">
        <v>0</v>
      </c>
      <c r="S353" t="n">
        <v>0</v>
      </c>
      <c r="T353" t="n">
        <v>0</v>
      </c>
      <c r="U353" s="2" t="inlineStr"/>
    </row>
    <row r="354" ht="15" customHeight="1">
      <c r="A354" t="inlineStr">
        <is>
          <t>S 893-2022</t>
        </is>
      </c>
      <c r="B354" t="inlineStr">
        <is>
          <t>samrådsanmälan</t>
        </is>
      </c>
      <c r="C354" t="inlineStr">
        <is>
          <t>Skogsgödsling</t>
        </is>
      </c>
      <c r="D354" s="1" t="n">
        <v>44607</v>
      </c>
      <c r="E354" s="1" t="n">
        <v>46220</v>
      </c>
      <c r="F354" t="inlineStr">
        <is>
          <t>VÄSTERBOTTENS LÄN</t>
        </is>
      </c>
      <c r="G354" t="inlineStr">
        <is>
          <t>SORSELE</t>
        </is>
      </c>
      <c r="H354" t="inlineStr">
        <is>
          <t>SCA</t>
        </is>
      </c>
      <c r="I354" t="n">
        <v>110.3</v>
      </c>
      <c r="J354" t="n">
        <v>0</v>
      </c>
      <c r="K354" t="n">
        <v>0</v>
      </c>
      <c r="L354" t="n">
        <v>0</v>
      </c>
      <c r="M354" t="n">
        <v>0</v>
      </c>
      <c r="N354" t="n">
        <v>0</v>
      </c>
      <c r="O354" t="n">
        <v>0</v>
      </c>
      <c r="P354" t="n">
        <v>0</v>
      </c>
      <c r="Q354" t="n">
        <v>0</v>
      </c>
      <c r="R354" t="n">
        <v>0</v>
      </c>
      <c r="S354" t="n">
        <v>0</v>
      </c>
      <c r="T354" t="n">
        <v>0</v>
      </c>
      <c r="U354" s="2" t="inlineStr"/>
    </row>
    <row r="355" ht="15" customHeight="1">
      <c r="A355" t="inlineStr">
        <is>
          <t>S 159-2023</t>
        </is>
      </c>
      <c r="B355" t="inlineStr">
        <is>
          <t>samrådsanmälan</t>
        </is>
      </c>
      <c r="C355" t="inlineStr">
        <is>
          <t>Skogsgödsling</t>
        </is>
      </c>
      <c r="D355" s="1" t="n">
        <v>44943</v>
      </c>
      <c r="E355" s="1" t="n">
        <v>46220</v>
      </c>
      <c r="F355" t="inlineStr">
        <is>
          <t>VÄSTERBOTTENS LÄN</t>
        </is>
      </c>
      <c r="G355" t="inlineStr">
        <is>
          <t>SORSELE</t>
        </is>
      </c>
      <c r="H355" t="inlineStr">
        <is>
          <t>SCA</t>
        </is>
      </c>
      <c r="I355" t="n">
        <v>49.5</v>
      </c>
      <c r="J355" t="n">
        <v>0</v>
      </c>
      <c r="K355" t="n">
        <v>0</v>
      </c>
      <c r="L355" t="n">
        <v>0</v>
      </c>
      <c r="M355" t="n">
        <v>0</v>
      </c>
      <c r="N355" t="n">
        <v>0</v>
      </c>
      <c r="O355" t="n">
        <v>0</v>
      </c>
      <c r="P355" t="n">
        <v>0</v>
      </c>
      <c r="Q355" t="n">
        <v>0</v>
      </c>
      <c r="R355" t="n">
        <v>0</v>
      </c>
      <c r="S355" t="n">
        <v>0</v>
      </c>
      <c r="T355" t="n">
        <v>0</v>
      </c>
      <c r="U355" s="2" t="inlineStr"/>
    </row>
    <row r="356" ht="15" customHeight="1">
      <c r="A356" t="inlineStr">
        <is>
          <t>S 2990-2025</t>
        </is>
      </c>
      <c r="B356" t="inlineStr">
        <is>
          <t>samrådsanmälan</t>
        </is>
      </c>
      <c r="C356" t="inlineStr">
        <is>
          <t>Skogsgödsling</t>
        </is>
      </c>
      <c r="D356" s="1" t="n">
        <v>45957</v>
      </c>
      <c r="E356" s="1" t="n">
        <v>46220</v>
      </c>
      <c r="F356" t="inlineStr">
        <is>
          <t>VÄSTERBOTTENS LÄN</t>
        </is>
      </c>
      <c r="G356" t="inlineStr">
        <is>
          <t>SORSELE</t>
        </is>
      </c>
      <c r="I356" t="n">
        <v>66.40000000000001</v>
      </c>
      <c r="J356" t="n">
        <v>0</v>
      </c>
      <c r="K356" t="n">
        <v>0</v>
      </c>
      <c r="L356" t="n">
        <v>0</v>
      </c>
      <c r="M356" t="n">
        <v>0</v>
      </c>
      <c r="N356" t="n">
        <v>0</v>
      </c>
      <c r="O356" t="n">
        <v>0</v>
      </c>
      <c r="P356" t="n">
        <v>0</v>
      </c>
      <c r="Q356" t="n">
        <v>0</v>
      </c>
      <c r="R356" t="n">
        <v>0</v>
      </c>
      <c r="S356" t="n">
        <v>0</v>
      </c>
      <c r="T356" t="n">
        <v>0</v>
      </c>
      <c r="U356" s="2" t="inlineStr"/>
    </row>
    <row r="357">
      <c r="A357" t="inlineStr">
        <is>
          <t>S 3009-2025</t>
        </is>
      </c>
      <c r="B357" t="inlineStr">
        <is>
          <t>samrådsanmälan</t>
        </is>
      </c>
      <c r="C357" t="inlineStr">
        <is>
          <t>Skogsgödsling</t>
        </is>
      </c>
      <c r="D357" s="1" t="n">
        <v>45958</v>
      </c>
      <c r="E357" s="1" t="n">
        <v>46220</v>
      </c>
      <c r="F357" t="inlineStr">
        <is>
          <t>VÄSTERBOTTENS LÄN</t>
        </is>
      </c>
      <c r="G357" t="inlineStr">
        <is>
          <t>SORSELE</t>
        </is>
      </c>
      <c r="I357" t="n">
        <v>64.59999999999999</v>
      </c>
      <c r="J357" t="n">
        <v>0</v>
      </c>
      <c r="K357" t="n">
        <v>0</v>
      </c>
      <c r="L357" t="n">
        <v>0</v>
      </c>
      <c r="M357" t="n">
        <v>0</v>
      </c>
      <c r="N357" t="n">
        <v>0</v>
      </c>
      <c r="O357" t="n">
        <v>0</v>
      </c>
      <c r="P357" t="n">
        <v>0</v>
      </c>
      <c r="Q357" t="n">
        <v>0</v>
      </c>
      <c r="R357" t="n">
        <v>0</v>
      </c>
      <c r="S357" t="n">
        <v>0</v>
      </c>
      <c r="T357" t="n">
        <v>0</v>
      </c>
      <c r="U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2026-07-17T01:45:26Z</dcterms:created>
  <dcterms:modified xmlns:dcterms="http://purl.org/dc/terms/" xmlns:xsi="http://www.w3.org/2001/XMLSchema-instance" xsi:type="dcterms:W3CDTF">2026-07-17T01:45:27Z</dcterms:modified>
</cp:coreProperties>
</file>