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45830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45830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45830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45830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45830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45830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45830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45830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45830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45830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45830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45830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45830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45830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45830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45830</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45830</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45830</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45830</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45830</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45830</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45830</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45830</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45830</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45830</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45830</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45830</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45830</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45830</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45830</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45830</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45830</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45830</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45830</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45830</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45830</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45830</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45830</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45830</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45830</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45830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45830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45830</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45830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45830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45830</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45830</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45830</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45830</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42167-2021</t>
        </is>
      </c>
      <c r="B51" s="1" t="n">
        <v>44426</v>
      </c>
      <c r="C51" s="1" t="n">
        <v>45830</v>
      </c>
      <c r="D51" t="inlineStr">
        <is>
          <t>VÄSTERBOTTENS LÄN</t>
        </is>
      </c>
      <c r="E51" t="inlineStr">
        <is>
          <t>SORSELE</t>
        </is>
      </c>
      <c r="G51" t="n">
        <v>4.5</v>
      </c>
      <c r="H51" t="n">
        <v>1</v>
      </c>
      <c r="I51" t="n">
        <v>0</v>
      </c>
      <c r="J51" t="n">
        <v>1</v>
      </c>
      <c r="K51" t="n">
        <v>0</v>
      </c>
      <c r="L51" t="n">
        <v>0</v>
      </c>
      <c r="M51" t="n">
        <v>0</v>
      </c>
      <c r="N51" t="n">
        <v>0</v>
      </c>
      <c r="O51" t="n">
        <v>1</v>
      </c>
      <c r="P51" t="n">
        <v>0</v>
      </c>
      <c r="Q51" t="n">
        <v>1</v>
      </c>
      <c r="R51" s="2" t="inlineStr">
        <is>
          <t>Spillkråka</t>
        </is>
      </c>
      <c r="S51">
        <f>HYPERLINK("https://klasma.github.io/Logging_2422/artfynd/A 42167-2021 artfynd.xlsx", "A 42167-2021")</f>
        <v/>
      </c>
      <c r="T51">
        <f>HYPERLINK("https://klasma.github.io/Logging_2422/kartor/A 42167-2021 karta.png", "A 42167-2021")</f>
        <v/>
      </c>
      <c r="V51">
        <f>HYPERLINK("https://klasma.github.io/Logging_2422/klagomål/A 42167-2021 FSC-klagomål.docx", "A 42167-2021")</f>
        <v/>
      </c>
      <c r="W51">
        <f>HYPERLINK("https://klasma.github.io/Logging_2422/klagomålsmail/A 42167-2021 FSC-klagomål mail.docx", "A 42167-2021")</f>
        <v/>
      </c>
      <c r="X51">
        <f>HYPERLINK("https://klasma.github.io/Logging_2422/tillsyn/A 42167-2021 tillsynsbegäran.docx", "A 42167-2021")</f>
        <v/>
      </c>
      <c r="Y51">
        <f>HYPERLINK("https://klasma.github.io/Logging_2422/tillsynsmail/A 42167-2021 tillsynsbegäran mail.docx", "A 42167-2021")</f>
        <v/>
      </c>
      <c r="Z51">
        <f>HYPERLINK("https://klasma.github.io/Logging_2422/fåglar/A 42167-2021 prioriterade fågelarter.docx", "A 42167-2021")</f>
        <v/>
      </c>
    </row>
    <row r="52" ht="15" customHeight="1">
      <c r="A52" t="inlineStr">
        <is>
          <t>A 45511-2021</t>
        </is>
      </c>
      <c r="B52" s="1" t="n">
        <v>44440</v>
      </c>
      <c r="C52" s="1" t="n">
        <v>45830</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13727-2022</t>
        </is>
      </c>
      <c r="B53" s="1" t="n">
        <v>44648</v>
      </c>
      <c r="C53" s="1" t="n">
        <v>45830</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23232-2022</t>
        </is>
      </c>
      <c r="B54" s="1" t="n">
        <v>44719</v>
      </c>
      <c r="C54" s="1" t="n">
        <v>45830</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23330-2023</t>
        </is>
      </c>
      <c r="B55" s="1" t="n">
        <v>45071</v>
      </c>
      <c r="C55" s="1" t="n">
        <v>45830</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37745-2023</t>
        </is>
      </c>
      <c r="B56" s="1" t="n">
        <v>45156</v>
      </c>
      <c r="C56" s="1" t="n">
        <v>45830</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64134-2023</t>
        </is>
      </c>
      <c r="B57" s="1" t="n">
        <v>45279</v>
      </c>
      <c r="C57" s="1" t="n">
        <v>45830</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49247-2024</t>
        </is>
      </c>
      <c r="B58" s="1" t="n">
        <v>45595</v>
      </c>
      <c r="C58" s="1" t="n">
        <v>45830</v>
      </c>
      <c r="D58" t="inlineStr">
        <is>
          <t>VÄSTERBOTTENS LÄN</t>
        </is>
      </c>
      <c r="E58" t="inlineStr">
        <is>
          <t>SORSELE</t>
        </is>
      </c>
      <c r="F58" t="inlineStr">
        <is>
          <t>Sveaskog</t>
        </is>
      </c>
      <c r="G58" t="n">
        <v>13.9</v>
      </c>
      <c r="H58" t="n">
        <v>0</v>
      </c>
      <c r="I58" t="n">
        <v>1</v>
      </c>
      <c r="J58" t="n">
        <v>0</v>
      </c>
      <c r="K58" t="n">
        <v>0</v>
      </c>
      <c r="L58" t="n">
        <v>0</v>
      </c>
      <c r="M58" t="n">
        <v>0</v>
      </c>
      <c r="N58" t="n">
        <v>0</v>
      </c>
      <c r="O58" t="n">
        <v>0</v>
      </c>
      <c r="P58" t="n">
        <v>0</v>
      </c>
      <c r="Q58" t="n">
        <v>1</v>
      </c>
      <c r="R58" s="2" t="inlineStr">
        <is>
          <t>Dropptaggsvamp</t>
        </is>
      </c>
      <c r="S58">
        <f>HYPERLINK("https://klasma.github.io/Logging_2422/artfynd/A 49247-2024 artfynd.xlsx", "A 49247-2024")</f>
        <v/>
      </c>
      <c r="T58">
        <f>HYPERLINK("https://klasma.github.io/Logging_2422/kartor/A 49247-2024 karta.png", "A 49247-2024")</f>
        <v/>
      </c>
      <c r="V58">
        <f>HYPERLINK("https://klasma.github.io/Logging_2422/klagomål/A 49247-2024 FSC-klagomål.docx", "A 49247-2024")</f>
        <v/>
      </c>
      <c r="W58">
        <f>HYPERLINK("https://klasma.github.io/Logging_2422/klagomålsmail/A 49247-2024 FSC-klagomål mail.docx", "A 49247-2024")</f>
        <v/>
      </c>
      <c r="X58">
        <f>HYPERLINK("https://klasma.github.io/Logging_2422/tillsyn/A 49247-2024 tillsynsbegäran.docx", "A 49247-2024")</f>
        <v/>
      </c>
      <c r="Y58">
        <f>HYPERLINK("https://klasma.github.io/Logging_2422/tillsynsmail/A 49247-2024 tillsynsbegäran mail.docx", "A 49247-2024")</f>
        <v/>
      </c>
    </row>
    <row r="59" ht="15" customHeight="1">
      <c r="A59" t="inlineStr">
        <is>
          <t>A 2985-2025</t>
        </is>
      </c>
      <c r="B59" s="1" t="n">
        <v>45678</v>
      </c>
      <c r="C59" s="1" t="n">
        <v>45830</v>
      </c>
      <c r="D59" t="inlineStr">
        <is>
          <t>VÄSTERBOTTENS LÄN</t>
        </is>
      </c>
      <c r="E59" t="inlineStr">
        <is>
          <t>SORSELE</t>
        </is>
      </c>
      <c r="F59" t="inlineStr">
        <is>
          <t>Övriga statliga verk och myndigheter</t>
        </is>
      </c>
      <c r="G59" t="n">
        <v>82.5</v>
      </c>
      <c r="H59" t="n">
        <v>1</v>
      </c>
      <c r="I59" t="n">
        <v>0</v>
      </c>
      <c r="J59" t="n">
        <v>1</v>
      </c>
      <c r="K59" t="n">
        <v>0</v>
      </c>
      <c r="L59" t="n">
        <v>0</v>
      </c>
      <c r="M59" t="n">
        <v>0</v>
      </c>
      <c r="N59" t="n">
        <v>0</v>
      </c>
      <c r="O59" t="n">
        <v>1</v>
      </c>
      <c r="P59" t="n">
        <v>0</v>
      </c>
      <c r="Q59" t="n">
        <v>1</v>
      </c>
      <c r="R59" s="2" t="inlineStr">
        <is>
          <t>Utter</t>
        </is>
      </c>
      <c r="S59">
        <f>HYPERLINK("https://klasma.github.io/Logging_2422/artfynd/A 2985-2025 artfynd.xlsx", "A 2985-2025")</f>
        <v/>
      </c>
      <c r="T59">
        <f>HYPERLINK("https://klasma.github.io/Logging_2422/kartor/A 2985-2025 karta.png", "A 2985-2025")</f>
        <v/>
      </c>
      <c r="V59">
        <f>HYPERLINK("https://klasma.github.io/Logging_2422/klagomål/A 2985-2025 FSC-klagomål.docx", "A 2985-2025")</f>
        <v/>
      </c>
      <c r="W59">
        <f>HYPERLINK("https://klasma.github.io/Logging_2422/klagomålsmail/A 2985-2025 FSC-klagomål mail.docx", "A 2985-2025")</f>
        <v/>
      </c>
      <c r="X59">
        <f>HYPERLINK("https://klasma.github.io/Logging_2422/tillsyn/A 2985-2025 tillsynsbegäran.docx", "A 2985-2025")</f>
        <v/>
      </c>
      <c r="Y59">
        <f>HYPERLINK("https://klasma.github.io/Logging_2422/tillsynsmail/A 2985-2025 tillsynsbegäran mail.docx", "A 2985-2025")</f>
        <v/>
      </c>
    </row>
    <row r="60" ht="15" customHeight="1">
      <c r="A60" t="inlineStr">
        <is>
          <t>A 25119-2019</t>
        </is>
      </c>
      <c r="B60" s="1" t="n">
        <v>43601</v>
      </c>
      <c r="C60" s="1" t="n">
        <v>45830</v>
      </c>
      <c r="D60" t="inlineStr">
        <is>
          <t>VÄSTERBOTTENS LÄN</t>
        </is>
      </c>
      <c r="E60" t="inlineStr">
        <is>
          <t>SORSELE</t>
        </is>
      </c>
      <c r="G60" t="n">
        <v>18</v>
      </c>
      <c r="H60" t="n">
        <v>0</v>
      </c>
      <c r="I60" t="n">
        <v>0</v>
      </c>
      <c r="J60" t="n">
        <v>0</v>
      </c>
      <c r="K60" t="n">
        <v>0</v>
      </c>
      <c r="L60" t="n">
        <v>0</v>
      </c>
      <c r="M60" t="n">
        <v>0</v>
      </c>
      <c r="N60" t="n">
        <v>0</v>
      </c>
      <c r="O60" t="n">
        <v>0</v>
      </c>
      <c r="P60" t="n">
        <v>0</v>
      </c>
      <c r="Q60" t="n">
        <v>0</v>
      </c>
      <c r="R60" s="2" t="inlineStr"/>
    </row>
    <row r="61" ht="15" customHeight="1">
      <c r="A61" t="inlineStr">
        <is>
          <t>A 25191-2019</t>
        </is>
      </c>
      <c r="B61" s="1" t="n">
        <v>43601</v>
      </c>
      <c r="C61" s="1" t="n">
        <v>45830</v>
      </c>
      <c r="D61" t="inlineStr">
        <is>
          <t>VÄSTERBOTTENS LÄN</t>
        </is>
      </c>
      <c r="E61" t="inlineStr">
        <is>
          <t>SORSELE</t>
        </is>
      </c>
      <c r="G61" t="n">
        <v>3.3</v>
      </c>
      <c r="H61" t="n">
        <v>0</v>
      </c>
      <c r="I61" t="n">
        <v>0</v>
      </c>
      <c r="J61" t="n">
        <v>0</v>
      </c>
      <c r="K61" t="n">
        <v>0</v>
      </c>
      <c r="L61" t="n">
        <v>0</v>
      </c>
      <c r="M61" t="n">
        <v>0</v>
      </c>
      <c r="N61" t="n">
        <v>0</v>
      </c>
      <c r="O61" t="n">
        <v>0</v>
      </c>
      <c r="P61" t="n">
        <v>0</v>
      </c>
      <c r="Q61" t="n">
        <v>0</v>
      </c>
      <c r="R61" s="2" t="inlineStr"/>
    </row>
    <row r="62" ht="15" customHeight="1">
      <c r="A62" t="inlineStr">
        <is>
          <t>A 25160-2019</t>
        </is>
      </c>
      <c r="B62" s="1" t="n">
        <v>43601</v>
      </c>
      <c r="C62" s="1" t="n">
        <v>45830</v>
      </c>
      <c r="D62" t="inlineStr">
        <is>
          <t>VÄSTERBOTTENS LÄN</t>
        </is>
      </c>
      <c r="E62" t="inlineStr">
        <is>
          <t>SORSELE</t>
        </is>
      </c>
      <c r="G62" t="n">
        <v>16.7</v>
      </c>
      <c r="H62" t="n">
        <v>0</v>
      </c>
      <c r="I62" t="n">
        <v>0</v>
      </c>
      <c r="J62" t="n">
        <v>0</v>
      </c>
      <c r="K62" t="n">
        <v>0</v>
      </c>
      <c r="L62" t="n">
        <v>0</v>
      </c>
      <c r="M62" t="n">
        <v>0</v>
      </c>
      <c r="N62" t="n">
        <v>0</v>
      </c>
      <c r="O62" t="n">
        <v>0</v>
      </c>
      <c r="P62" t="n">
        <v>0</v>
      </c>
      <c r="Q62" t="n">
        <v>0</v>
      </c>
      <c r="R62" s="2" t="inlineStr"/>
    </row>
    <row r="63" ht="15" customHeight="1">
      <c r="A63" t="inlineStr">
        <is>
          <t>A 25085-2019</t>
        </is>
      </c>
      <c r="B63" s="1" t="n">
        <v>43605</v>
      </c>
      <c r="C63" s="1" t="n">
        <v>45830</v>
      </c>
      <c r="D63" t="inlineStr">
        <is>
          <t>VÄSTERBOTTENS LÄN</t>
        </is>
      </c>
      <c r="E63" t="inlineStr">
        <is>
          <t>SORSELE</t>
        </is>
      </c>
      <c r="G63" t="n">
        <v>4.5</v>
      </c>
      <c r="H63" t="n">
        <v>0</v>
      </c>
      <c r="I63" t="n">
        <v>0</v>
      </c>
      <c r="J63" t="n">
        <v>0</v>
      </c>
      <c r="K63" t="n">
        <v>0</v>
      </c>
      <c r="L63" t="n">
        <v>0</v>
      </c>
      <c r="M63" t="n">
        <v>0</v>
      </c>
      <c r="N63" t="n">
        <v>0</v>
      </c>
      <c r="O63" t="n">
        <v>0</v>
      </c>
      <c r="P63" t="n">
        <v>0</v>
      </c>
      <c r="Q63" t="n">
        <v>0</v>
      </c>
      <c r="R63" s="2" t="inlineStr"/>
    </row>
    <row r="64" ht="15" customHeight="1">
      <c r="A64" t="inlineStr">
        <is>
          <t>A 25118-2019</t>
        </is>
      </c>
      <c r="B64" s="1" t="n">
        <v>43605</v>
      </c>
      <c r="C64" s="1" t="n">
        <v>45830</v>
      </c>
      <c r="D64" t="inlineStr">
        <is>
          <t>VÄSTERBOTTENS LÄN</t>
        </is>
      </c>
      <c r="E64" t="inlineStr">
        <is>
          <t>SORSELE</t>
        </is>
      </c>
      <c r="G64" t="n">
        <v>2.3</v>
      </c>
      <c r="H64" t="n">
        <v>0</v>
      </c>
      <c r="I64" t="n">
        <v>0</v>
      </c>
      <c r="J64" t="n">
        <v>0</v>
      </c>
      <c r="K64" t="n">
        <v>0</v>
      </c>
      <c r="L64" t="n">
        <v>0</v>
      </c>
      <c r="M64" t="n">
        <v>0</v>
      </c>
      <c r="N64" t="n">
        <v>0</v>
      </c>
      <c r="O64" t="n">
        <v>0</v>
      </c>
      <c r="P64" t="n">
        <v>0</v>
      </c>
      <c r="Q64" t="n">
        <v>0</v>
      </c>
      <c r="R64" s="2" t="inlineStr"/>
    </row>
    <row r="65" ht="15" customHeight="1">
      <c r="A65" t="inlineStr">
        <is>
          <t>A 25080-2019</t>
        </is>
      </c>
      <c r="B65" s="1" t="n">
        <v>43605</v>
      </c>
      <c r="C65" s="1" t="n">
        <v>45830</v>
      </c>
      <c r="D65" t="inlineStr">
        <is>
          <t>VÄSTERBOTTENS LÄN</t>
        </is>
      </c>
      <c r="E65" t="inlineStr">
        <is>
          <t>SORSELE</t>
        </is>
      </c>
      <c r="G65" t="n">
        <v>15.7</v>
      </c>
      <c r="H65" t="n">
        <v>0</v>
      </c>
      <c r="I65" t="n">
        <v>0</v>
      </c>
      <c r="J65" t="n">
        <v>0</v>
      </c>
      <c r="K65" t="n">
        <v>0</v>
      </c>
      <c r="L65" t="n">
        <v>0</v>
      </c>
      <c r="M65" t="n">
        <v>0</v>
      </c>
      <c r="N65" t="n">
        <v>0</v>
      </c>
      <c r="O65" t="n">
        <v>0</v>
      </c>
      <c r="P65" t="n">
        <v>0</v>
      </c>
      <c r="Q65" t="n">
        <v>0</v>
      </c>
      <c r="R65" s="2" t="inlineStr"/>
    </row>
    <row r="66" ht="15" customHeight="1">
      <c r="A66" t="inlineStr">
        <is>
          <t>A 25683-2019</t>
        </is>
      </c>
      <c r="B66" s="1" t="n">
        <v>43607</v>
      </c>
      <c r="C66" s="1" t="n">
        <v>45830</v>
      </c>
      <c r="D66" t="inlineStr">
        <is>
          <t>VÄSTERBOTTENS LÄN</t>
        </is>
      </c>
      <c r="E66" t="inlineStr">
        <is>
          <t>SORSELE</t>
        </is>
      </c>
      <c r="F66" t="inlineStr">
        <is>
          <t>Sveaskog</t>
        </is>
      </c>
      <c r="G66" t="n">
        <v>3.4</v>
      </c>
      <c r="H66" t="n">
        <v>0</v>
      </c>
      <c r="I66" t="n">
        <v>0</v>
      </c>
      <c r="J66" t="n">
        <v>0</v>
      </c>
      <c r="K66" t="n">
        <v>0</v>
      </c>
      <c r="L66" t="n">
        <v>0</v>
      </c>
      <c r="M66" t="n">
        <v>0</v>
      </c>
      <c r="N66" t="n">
        <v>0</v>
      </c>
      <c r="O66" t="n">
        <v>0</v>
      </c>
      <c r="P66" t="n">
        <v>0</v>
      </c>
      <c r="Q66" t="n">
        <v>0</v>
      </c>
      <c r="R66" s="2" t="inlineStr"/>
    </row>
    <row r="67" ht="15" customHeight="1">
      <c r="A67" t="inlineStr">
        <is>
          <t>A 28129-2019</t>
        </is>
      </c>
      <c r="B67" s="1" t="n">
        <v>43621</v>
      </c>
      <c r="C67" s="1" t="n">
        <v>45830</v>
      </c>
      <c r="D67" t="inlineStr">
        <is>
          <t>VÄSTERBOTTENS LÄN</t>
        </is>
      </c>
      <c r="E67" t="inlineStr">
        <is>
          <t>SORSELE</t>
        </is>
      </c>
      <c r="F67" t="inlineStr">
        <is>
          <t>Sveaskog</t>
        </is>
      </c>
      <c r="G67" t="n">
        <v>51.4</v>
      </c>
      <c r="H67" t="n">
        <v>0</v>
      </c>
      <c r="I67" t="n">
        <v>0</v>
      </c>
      <c r="J67" t="n">
        <v>0</v>
      </c>
      <c r="K67" t="n">
        <v>0</v>
      </c>
      <c r="L67" t="n">
        <v>0</v>
      </c>
      <c r="M67" t="n">
        <v>0</v>
      </c>
      <c r="N67" t="n">
        <v>0</v>
      </c>
      <c r="O67" t="n">
        <v>0</v>
      </c>
      <c r="P67" t="n">
        <v>0</v>
      </c>
      <c r="Q67" t="n">
        <v>0</v>
      </c>
      <c r="R67" s="2" t="inlineStr"/>
    </row>
    <row r="68" ht="15" customHeight="1">
      <c r="A68" t="inlineStr">
        <is>
          <t>A 28270-2019</t>
        </is>
      </c>
      <c r="B68" s="1" t="n">
        <v>43623</v>
      </c>
      <c r="C68" s="1" t="n">
        <v>45830</v>
      </c>
      <c r="D68" t="inlineStr">
        <is>
          <t>VÄSTERBOTTENS LÄN</t>
        </is>
      </c>
      <c r="E68" t="inlineStr">
        <is>
          <t>SORSELE</t>
        </is>
      </c>
      <c r="F68" t="inlineStr">
        <is>
          <t>Sveaskog</t>
        </is>
      </c>
      <c r="G68" t="n">
        <v>3.6</v>
      </c>
      <c r="H68" t="n">
        <v>0</v>
      </c>
      <c r="I68" t="n">
        <v>0</v>
      </c>
      <c r="J68" t="n">
        <v>0</v>
      </c>
      <c r="K68" t="n">
        <v>0</v>
      </c>
      <c r="L68" t="n">
        <v>0</v>
      </c>
      <c r="M68" t="n">
        <v>0</v>
      </c>
      <c r="N68" t="n">
        <v>0</v>
      </c>
      <c r="O68" t="n">
        <v>0</v>
      </c>
      <c r="P68" t="n">
        <v>0</v>
      </c>
      <c r="Q68" t="n">
        <v>0</v>
      </c>
      <c r="R68" s="2" t="inlineStr"/>
    </row>
    <row r="69" ht="15" customHeight="1">
      <c r="A69" t="inlineStr">
        <is>
          <t>A 36862-2019</t>
        </is>
      </c>
      <c r="B69" s="1" t="n">
        <v>43675</v>
      </c>
      <c r="C69" s="1" t="n">
        <v>45830</v>
      </c>
      <c r="D69" t="inlineStr">
        <is>
          <t>VÄSTERBOTTENS LÄN</t>
        </is>
      </c>
      <c r="E69" t="inlineStr">
        <is>
          <t>SORSELE</t>
        </is>
      </c>
      <c r="G69" t="n">
        <v>0.4</v>
      </c>
      <c r="H69" t="n">
        <v>0</v>
      </c>
      <c r="I69" t="n">
        <v>0</v>
      </c>
      <c r="J69" t="n">
        <v>0</v>
      </c>
      <c r="K69" t="n">
        <v>0</v>
      </c>
      <c r="L69" t="n">
        <v>0</v>
      </c>
      <c r="M69" t="n">
        <v>0</v>
      </c>
      <c r="N69" t="n">
        <v>0</v>
      </c>
      <c r="O69" t="n">
        <v>0</v>
      </c>
      <c r="P69" t="n">
        <v>0</v>
      </c>
      <c r="Q69" t="n">
        <v>0</v>
      </c>
      <c r="R69" s="2" t="inlineStr"/>
    </row>
    <row r="70" ht="15" customHeight="1">
      <c r="A70" t="inlineStr">
        <is>
          <t>A 37429-2019</t>
        </is>
      </c>
      <c r="B70" s="1" t="n">
        <v>43678</v>
      </c>
      <c r="C70" s="1" t="n">
        <v>45830</v>
      </c>
      <c r="D70" t="inlineStr">
        <is>
          <t>VÄSTERBOTTENS LÄN</t>
        </is>
      </c>
      <c r="E70" t="inlineStr">
        <is>
          <t>SORSELE</t>
        </is>
      </c>
      <c r="F70" t="inlineStr">
        <is>
          <t>SCA</t>
        </is>
      </c>
      <c r="G70" t="n">
        <v>3.7</v>
      </c>
      <c r="H70" t="n">
        <v>0</v>
      </c>
      <c r="I70" t="n">
        <v>0</v>
      </c>
      <c r="J70" t="n">
        <v>0</v>
      </c>
      <c r="K70" t="n">
        <v>0</v>
      </c>
      <c r="L70" t="n">
        <v>0</v>
      </c>
      <c r="M70" t="n">
        <v>0</v>
      </c>
      <c r="N70" t="n">
        <v>0</v>
      </c>
      <c r="O70" t="n">
        <v>0</v>
      </c>
      <c r="P70" t="n">
        <v>0</v>
      </c>
      <c r="Q70" t="n">
        <v>0</v>
      </c>
      <c r="R70" s="2" t="inlineStr"/>
    </row>
    <row r="71" ht="15" customHeight="1">
      <c r="A71" t="inlineStr">
        <is>
          <t>A 37576-2019</t>
        </is>
      </c>
      <c r="B71" s="1" t="n">
        <v>43679</v>
      </c>
      <c r="C71" s="1" t="n">
        <v>45830</v>
      </c>
      <c r="D71" t="inlineStr">
        <is>
          <t>VÄSTERBOTTENS LÄN</t>
        </is>
      </c>
      <c r="E71" t="inlineStr">
        <is>
          <t>SORSELE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41646-2019</t>
        </is>
      </c>
      <c r="B72" s="1" t="n">
        <v>43699</v>
      </c>
      <c r="C72" s="1" t="n">
        <v>45830</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42535-2019</t>
        </is>
      </c>
      <c r="B73" s="1" t="n">
        <v>43699</v>
      </c>
      <c r="C73" s="1" t="n">
        <v>45830</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45017-2019</t>
        </is>
      </c>
      <c r="B74" s="1" t="n">
        <v>43699</v>
      </c>
      <c r="C74" s="1" t="n">
        <v>45830</v>
      </c>
      <c r="D74" t="inlineStr">
        <is>
          <t>VÄSTERBOTTENS LÄN</t>
        </is>
      </c>
      <c r="E74" t="inlineStr">
        <is>
          <t>SORSELE</t>
        </is>
      </c>
      <c r="G74" t="n">
        <v>2.7</v>
      </c>
      <c r="H74" t="n">
        <v>0</v>
      </c>
      <c r="I74" t="n">
        <v>0</v>
      </c>
      <c r="J74" t="n">
        <v>0</v>
      </c>
      <c r="K74" t="n">
        <v>0</v>
      </c>
      <c r="L74" t="n">
        <v>0</v>
      </c>
      <c r="M74" t="n">
        <v>0</v>
      </c>
      <c r="N74" t="n">
        <v>0</v>
      </c>
      <c r="O74" t="n">
        <v>0</v>
      </c>
      <c r="P74" t="n">
        <v>0</v>
      </c>
      <c r="Q74" t="n">
        <v>0</v>
      </c>
      <c r="R74" s="2" t="inlineStr"/>
    </row>
    <row r="75" ht="15" customHeight="1">
      <c r="A75" t="inlineStr">
        <is>
          <t>A 43005-2019</t>
        </is>
      </c>
      <c r="B75" s="1" t="n">
        <v>43702</v>
      </c>
      <c r="C75" s="1" t="n">
        <v>45830</v>
      </c>
      <c r="D75" t="inlineStr">
        <is>
          <t>VÄSTERBOTTENS LÄN</t>
        </is>
      </c>
      <c r="E75" t="inlineStr">
        <is>
          <t>SORSELE</t>
        </is>
      </c>
      <c r="G75" t="n">
        <v>4.6</v>
      </c>
      <c r="H75" t="n">
        <v>0</v>
      </c>
      <c r="I75" t="n">
        <v>0</v>
      </c>
      <c r="J75" t="n">
        <v>0</v>
      </c>
      <c r="K75" t="n">
        <v>0</v>
      </c>
      <c r="L75" t="n">
        <v>0</v>
      </c>
      <c r="M75" t="n">
        <v>0</v>
      </c>
      <c r="N75" t="n">
        <v>0</v>
      </c>
      <c r="O75" t="n">
        <v>0</v>
      </c>
      <c r="P75" t="n">
        <v>0</v>
      </c>
      <c r="Q75" t="n">
        <v>0</v>
      </c>
      <c r="R75" s="2" t="inlineStr"/>
    </row>
    <row r="76" ht="15" customHeight="1">
      <c r="A76" t="inlineStr">
        <is>
          <t>A 44443-2019</t>
        </is>
      </c>
      <c r="B76" s="1" t="n">
        <v>43705</v>
      </c>
      <c r="C76" s="1" t="n">
        <v>45830</v>
      </c>
      <c r="D76" t="inlineStr">
        <is>
          <t>VÄSTERBOTTENS LÄN</t>
        </is>
      </c>
      <c r="E76" t="inlineStr">
        <is>
          <t>SORSELE</t>
        </is>
      </c>
      <c r="G76" t="n">
        <v>2.2</v>
      </c>
      <c r="H76" t="n">
        <v>0</v>
      </c>
      <c r="I76" t="n">
        <v>0</v>
      </c>
      <c r="J76" t="n">
        <v>0</v>
      </c>
      <c r="K76" t="n">
        <v>0</v>
      </c>
      <c r="L76" t="n">
        <v>0</v>
      </c>
      <c r="M76" t="n">
        <v>0</v>
      </c>
      <c r="N76" t="n">
        <v>0</v>
      </c>
      <c r="O76" t="n">
        <v>0</v>
      </c>
      <c r="P76" t="n">
        <v>0</v>
      </c>
      <c r="Q76" t="n">
        <v>0</v>
      </c>
      <c r="R76" s="2" t="inlineStr"/>
    </row>
    <row r="77" ht="15" customHeight="1">
      <c r="A77" t="inlineStr">
        <is>
          <t>A 47000-2019</t>
        </is>
      </c>
      <c r="B77" s="1" t="n">
        <v>43719</v>
      </c>
      <c r="C77" s="1" t="n">
        <v>45830</v>
      </c>
      <c r="D77" t="inlineStr">
        <is>
          <t>VÄSTERBOTTENS LÄN</t>
        </is>
      </c>
      <c r="E77" t="inlineStr">
        <is>
          <t>SORSELE</t>
        </is>
      </c>
      <c r="G77" t="n">
        <v>2.3</v>
      </c>
      <c r="H77" t="n">
        <v>0</v>
      </c>
      <c r="I77" t="n">
        <v>0</v>
      </c>
      <c r="J77" t="n">
        <v>0</v>
      </c>
      <c r="K77" t="n">
        <v>0</v>
      </c>
      <c r="L77" t="n">
        <v>0</v>
      </c>
      <c r="M77" t="n">
        <v>0</v>
      </c>
      <c r="N77" t="n">
        <v>0</v>
      </c>
      <c r="O77" t="n">
        <v>0</v>
      </c>
      <c r="P77" t="n">
        <v>0</v>
      </c>
      <c r="Q77" t="n">
        <v>0</v>
      </c>
      <c r="R77" s="2" t="inlineStr"/>
    </row>
    <row r="78" ht="15" customHeight="1">
      <c r="A78" t="inlineStr">
        <is>
          <t>A 47015-2019</t>
        </is>
      </c>
      <c r="B78" s="1" t="n">
        <v>43719</v>
      </c>
      <c r="C78" s="1" t="n">
        <v>45830</v>
      </c>
      <c r="D78" t="inlineStr">
        <is>
          <t>VÄSTERBOTTENS LÄN</t>
        </is>
      </c>
      <c r="E78" t="inlineStr">
        <is>
          <t>SORSELE</t>
        </is>
      </c>
      <c r="G78" t="n">
        <v>4.3</v>
      </c>
      <c r="H78" t="n">
        <v>0</v>
      </c>
      <c r="I78" t="n">
        <v>0</v>
      </c>
      <c r="J78" t="n">
        <v>0</v>
      </c>
      <c r="K78" t="n">
        <v>0</v>
      </c>
      <c r="L78" t="n">
        <v>0</v>
      </c>
      <c r="M78" t="n">
        <v>0</v>
      </c>
      <c r="N78" t="n">
        <v>0</v>
      </c>
      <c r="O78" t="n">
        <v>0</v>
      </c>
      <c r="P78" t="n">
        <v>0</v>
      </c>
      <c r="Q78" t="n">
        <v>0</v>
      </c>
      <c r="R78" s="2" t="inlineStr"/>
    </row>
    <row r="79" ht="15" customHeight="1">
      <c r="A79" t="inlineStr">
        <is>
          <t>A 52699-2019</t>
        </is>
      </c>
      <c r="B79" s="1" t="n">
        <v>43738</v>
      </c>
      <c r="C79" s="1" t="n">
        <v>45830</v>
      </c>
      <c r="D79" t="inlineStr">
        <is>
          <t>VÄSTERBOTTENS LÄN</t>
        </is>
      </c>
      <c r="E79" t="inlineStr">
        <is>
          <t>SORSELE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52690-2019</t>
        </is>
      </c>
      <c r="B80" s="1" t="n">
        <v>43738</v>
      </c>
      <c r="C80" s="1" t="n">
        <v>45830</v>
      </c>
      <c r="D80" t="inlineStr">
        <is>
          <t>VÄSTERBOTTENS LÄN</t>
        </is>
      </c>
      <c r="E80" t="inlineStr">
        <is>
          <t>SORSELE</t>
        </is>
      </c>
      <c r="F80" t="inlineStr">
        <is>
          <t>Övriga statliga verk och myndigheter</t>
        </is>
      </c>
      <c r="G80" t="n">
        <v>4.3</v>
      </c>
      <c r="H80" t="n">
        <v>0</v>
      </c>
      <c r="I80" t="n">
        <v>0</v>
      </c>
      <c r="J80" t="n">
        <v>0</v>
      </c>
      <c r="K80" t="n">
        <v>0</v>
      </c>
      <c r="L80" t="n">
        <v>0</v>
      </c>
      <c r="M80" t="n">
        <v>0</v>
      </c>
      <c r="N80" t="n">
        <v>0</v>
      </c>
      <c r="O80" t="n">
        <v>0</v>
      </c>
      <c r="P80" t="n">
        <v>0</v>
      </c>
      <c r="Q80" t="n">
        <v>0</v>
      </c>
      <c r="R80" s="2" t="inlineStr"/>
    </row>
    <row r="81" ht="15" customHeight="1">
      <c r="A81" t="inlineStr">
        <is>
          <t>A 52679-2019</t>
        </is>
      </c>
      <c r="B81" s="1" t="n">
        <v>43738</v>
      </c>
      <c r="C81" s="1" t="n">
        <v>45830</v>
      </c>
      <c r="D81" t="inlineStr">
        <is>
          <t>VÄSTERBOTTENS LÄN</t>
        </is>
      </c>
      <c r="E81" t="inlineStr">
        <is>
          <t>SORSELE</t>
        </is>
      </c>
      <c r="F81" t="inlineStr">
        <is>
          <t>Övriga statliga verk och myndigheter</t>
        </is>
      </c>
      <c r="G81" t="n">
        <v>2.4</v>
      </c>
      <c r="H81" t="n">
        <v>0</v>
      </c>
      <c r="I81" t="n">
        <v>0</v>
      </c>
      <c r="J81" t="n">
        <v>0</v>
      </c>
      <c r="K81" t="n">
        <v>0</v>
      </c>
      <c r="L81" t="n">
        <v>0</v>
      </c>
      <c r="M81" t="n">
        <v>0</v>
      </c>
      <c r="N81" t="n">
        <v>0</v>
      </c>
      <c r="O81" t="n">
        <v>0</v>
      </c>
      <c r="P81" t="n">
        <v>0</v>
      </c>
      <c r="Q81" t="n">
        <v>0</v>
      </c>
      <c r="R81" s="2" t="inlineStr"/>
    </row>
    <row r="82" ht="15" customHeight="1">
      <c r="A82" t="inlineStr">
        <is>
          <t>A 55102-2019</t>
        </is>
      </c>
      <c r="B82" s="1" t="n">
        <v>43752</v>
      </c>
      <c r="C82" s="1" t="n">
        <v>45830</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55240-2019</t>
        </is>
      </c>
      <c r="B83" s="1" t="n">
        <v>43754</v>
      </c>
      <c r="C83" s="1" t="n">
        <v>45830</v>
      </c>
      <c r="D83" t="inlineStr">
        <is>
          <t>VÄSTERBOTTENS LÄN</t>
        </is>
      </c>
      <c r="E83" t="inlineStr">
        <is>
          <t>SORSELE</t>
        </is>
      </c>
      <c r="G83" t="n">
        <v>13.5</v>
      </c>
      <c r="H83" t="n">
        <v>0</v>
      </c>
      <c r="I83" t="n">
        <v>0</v>
      </c>
      <c r="J83" t="n">
        <v>0</v>
      </c>
      <c r="K83" t="n">
        <v>0</v>
      </c>
      <c r="L83" t="n">
        <v>0</v>
      </c>
      <c r="M83" t="n">
        <v>0</v>
      </c>
      <c r="N83" t="n">
        <v>0</v>
      </c>
      <c r="O83" t="n">
        <v>0</v>
      </c>
      <c r="P83" t="n">
        <v>0</v>
      </c>
      <c r="Q83" t="n">
        <v>0</v>
      </c>
      <c r="R83" s="2" t="inlineStr"/>
    </row>
    <row r="84" ht="15" customHeight="1">
      <c r="A84" t="inlineStr">
        <is>
          <t>A 55424-2019</t>
        </is>
      </c>
      <c r="B84" s="1" t="n">
        <v>43758</v>
      </c>
      <c r="C84" s="1" t="n">
        <v>45830</v>
      </c>
      <c r="D84" t="inlineStr">
        <is>
          <t>VÄSTERBOTTENS LÄN</t>
        </is>
      </c>
      <c r="E84" t="inlineStr">
        <is>
          <t>SORSELE</t>
        </is>
      </c>
      <c r="G84" t="n">
        <v>15.5</v>
      </c>
      <c r="H84" t="n">
        <v>0</v>
      </c>
      <c r="I84" t="n">
        <v>0</v>
      </c>
      <c r="J84" t="n">
        <v>0</v>
      </c>
      <c r="K84" t="n">
        <v>0</v>
      </c>
      <c r="L84" t="n">
        <v>0</v>
      </c>
      <c r="M84" t="n">
        <v>0</v>
      </c>
      <c r="N84" t="n">
        <v>0</v>
      </c>
      <c r="O84" t="n">
        <v>0</v>
      </c>
      <c r="P84" t="n">
        <v>0</v>
      </c>
      <c r="Q84" t="n">
        <v>0</v>
      </c>
      <c r="R84" s="2" t="inlineStr"/>
    </row>
    <row r="85" ht="15" customHeight="1">
      <c r="A85" t="inlineStr">
        <is>
          <t>A 57974-2019</t>
        </is>
      </c>
      <c r="B85" s="1" t="n">
        <v>43762</v>
      </c>
      <c r="C85" s="1" t="n">
        <v>45830</v>
      </c>
      <c r="D85" t="inlineStr">
        <is>
          <t>VÄSTERBOTTENS LÄN</t>
        </is>
      </c>
      <c r="E85" t="inlineStr">
        <is>
          <t>SORSELE</t>
        </is>
      </c>
      <c r="G85" t="n">
        <v>1</v>
      </c>
      <c r="H85" t="n">
        <v>0</v>
      </c>
      <c r="I85" t="n">
        <v>0</v>
      </c>
      <c r="J85" t="n">
        <v>0</v>
      </c>
      <c r="K85" t="n">
        <v>0</v>
      </c>
      <c r="L85" t="n">
        <v>0</v>
      </c>
      <c r="M85" t="n">
        <v>0</v>
      </c>
      <c r="N85" t="n">
        <v>0</v>
      </c>
      <c r="O85" t="n">
        <v>0</v>
      </c>
      <c r="P85" t="n">
        <v>0</v>
      </c>
      <c r="Q85" t="n">
        <v>0</v>
      </c>
      <c r="R85" s="2" t="inlineStr"/>
    </row>
    <row r="86" ht="15" customHeight="1">
      <c r="A86" t="inlineStr">
        <is>
          <t>A 58561-2019</t>
        </is>
      </c>
      <c r="B86" s="1" t="n">
        <v>43766</v>
      </c>
      <c r="C86" s="1" t="n">
        <v>45830</v>
      </c>
      <c r="D86" t="inlineStr">
        <is>
          <t>VÄSTERBOTTENS LÄN</t>
        </is>
      </c>
      <c r="E86" t="inlineStr">
        <is>
          <t>SORSELE</t>
        </is>
      </c>
      <c r="G86" t="n">
        <v>12.3</v>
      </c>
      <c r="H86" t="n">
        <v>0</v>
      </c>
      <c r="I86" t="n">
        <v>0</v>
      </c>
      <c r="J86" t="n">
        <v>0</v>
      </c>
      <c r="K86" t="n">
        <v>0</v>
      </c>
      <c r="L86" t="n">
        <v>0</v>
      </c>
      <c r="M86" t="n">
        <v>0</v>
      </c>
      <c r="N86" t="n">
        <v>0</v>
      </c>
      <c r="O86" t="n">
        <v>0</v>
      </c>
      <c r="P86" t="n">
        <v>0</v>
      </c>
      <c r="Q86" t="n">
        <v>0</v>
      </c>
      <c r="R86" s="2" t="inlineStr"/>
    </row>
    <row r="87" ht="15" customHeight="1">
      <c r="A87" t="inlineStr">
        <is>
          <t>A 58568-2019</t>
        </is>
      </c>
      <c r="B87" s="1" t="n">
        <v>43766</v>
      </c>
      <c r="C87" s="1" t="n">
        <v>45830</v>
      </c>
      <c r="D87" t="inlineStr">
        <is>
          <t>VÄSTERBOTTENS LÄN</t>
        </is>
      </c>
      <c r="E87" t="inlineStr">
        <is>
          <t>SORSELE</t>
        </is>
      </c>
      <c r="G87" t="n">
        <v>2.4</v>
      </c>
      <c r="H87" t="n">
        <v>0</v>
      </c>
      <c r="I87" t="n">
        <v>0</v>
      </c>
      <c r="J87" t="n">
        <v>0</v>
      </c>
      <c r="K87" t="n">
        <v>0</v>
      </c>
      <c r="L87" t="n">
        <v>0</v>
      </c>
      <c r="M87" t="n">
        <v>0</v>
      </c>
      <c r="N87" t="n">
        <v>0</v>
      </c>
      <c r="O87" t="n">
        <v>0</v>
      </c>
      <c r="P87" t="n">
        <v>0</v>
      </c>
      <c r="Q87" t="n">
        <v>0</v>
      </c>
      <c r="R87" s="2" t="inlineStr"/>
    </row>
    <row r="88" ht="15" customHeight="1">
      <c r="A88" t="inlineStr">
        <is>
          <t>A 58511-2019</t>
        </is>
      </c>
      <c r="B88" s="1" t="n">
        <v>43773</v>
      </c>
      <c r="C88" s="1" t="n">
        <v>45830</v>
      </c>
      <c r="D88" t="inlineStr">
        <is>
          <t>VÄSTERBOTTENS LÄN</t>
        </is>
      </c>
      <c r="E88" t="inlineStr">
        <is>
          <t>SORSELE</t>
        </is>
      </c>
      <c r="F88" t="inlineStr">
        <is>
          <t>Sveaskog</t>
        </is>
      </c>
      <c r="G88" t="n">
        <v>6.3</v>
      </c>
      <c r="H88" t="n">
        <v>0</v>
      </c>
      <c r="I88" t="n">
        <v>0</v>
      </c>
      <c r="J88" t="n">
        <v>0</v>
      </c>
      <c r="K88" t="n">
        <v>0</v>
      </c>
      <c r="L88" t="n">
        <v>0</v>
      </c>
      <c r="M88" t="n">
        <v>0</v>
      </c>
      <c r="N88" t="n">
        <v>0</v>
      </c>
      <c r="O88" t="n">
        <v>0</v>
      </c>
      <c r="P88" t="n">
        <v>0</v>
      </c>
      <c r="Q88" t="n">
        <v>0</v>
      </c>
      <c r="R88" s="2" t="inlineStr"/>
    </row>
    <row r="89" ht="15" customHeight="1">
      <c r="A89" t="inlineStr">
        <is>
          <t>A 58580-2019</t>
        </is>
      </c>
      <c r="B89" s="1" t="n">
        <v>43773</v>
      </c>
      <c r="C89" s="1" t="n">
        <v>45830</v>
      </c>
      <c r="D89" t="inlineStr">
        <is>
          <t>VÄSTERBOTTENS LÄN</t>
        </is>
      </c>
      <c r="E89" t="inlineStr">
        <is>
          <t>SORSELE</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64692-2019</t>
        </is>
      </c>
      <c r="B90" s="1" t="n">
        <v>43794</v>
      </c>
      <c r="C90" s="1" t="n">
        <v>45830</v>
      </c>
      <c r="D90" t="inlineStr">
        <is>
          <t>VÄSTERBOTTENS LÄN</t>
        </is>
      </c>
      <c r="E90" t="inlineStr">
        <is>
          <t>SORSELE</t>
        </is>
      </c>
      <c r="G90" t="n">
        <v>5.6</v>
      </c>
      <c r="H90" t="n">
        <v>0</v>
      </c>
      <c r="I90" t="n">
        <v>0</v>
      </c>
      <c r="J90" t="n">
        <v>0</v>
      </c>
      <c r="K90" t="n">
        <v>0</v>
      </c>
      <c r="L90" t="n">
        <v>0</v>
      </c>
      <c r="M90" t="n">
        <v>0</v>
      </c>
      <c r="N90" t="n">
        <v>0</v>
      </c>
      <c r="O90" t="n">
        <v>0</v>
      </c>
      <c r="P90" t="n">
        <v>0</v>
      </c>
      <c r="Q90" t="n">
        <v>0</v>
      </c>
      <c r="R90" s="2" t="inlineStr"/>
    </row>
    <row r="91" ht="15" customHeight="1">
      <c r="A91" t="inlineStr">
        <is>
          <t>A 67298-2019</t>
        </is>
      </c>
      <c r="B91" s="1" t="n">
        <v>43811</v>
      </c>
      <c r="C91" s="1" t="n">
        <v>45830</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7-2020</t>
        </is>
      </c>
      <c r="B92" s="1" t="n">
        <v>43831</v>
      </c>
      <c r="C92" s="1" t="n">
        <v>45830</v>
      </c>
      <c r="D92" t="inlineStr">
        <is>
          <t>VÄSTERBOTTENS LÄN</t>
        </is>
      </c>
      <c r="E92" t="inlineStr">
        <is>
          <t>SORSELE</t>
        </is>
      </c>
      <c r="G92" t="n">
        <v>0.6</v>
      </c>
      <c r="H92" t="n">
        <v>0</v>
      </c>
      <c r="I92" t="n">
        <v>0</v>
      </c>
      <c r="J92" t="n">
        <v>0</v>
      </c>
      <c r="K92" t="n">
        <v>0</v>
      </c>
      <c r="L92" t="n">
        <v>0</v>
      </c>
      <c r="M92" t="n">
        <v>0</v>
      </c>
      <c r="N92" t="n">
        <v>0</v>
      </c>
      <c r="O92" t="n">
        <v>0</v>
      </c>
      <c r="P92" t="n">
        <v>0</v>
      </c>
      <c r="Q92" t="n">
        <v>0</v>
      </c>
      <c r="R92" s="2" t="inlineStr"/>
    </row>
    <row r="93" ht="15" customHeight="1">
      <c r="A93" t="inlineStr">
        <is>
          <t>A 11-2020</t>
        </is>
      </c>
      <c r="B93" s="1" t="n">
        <v>43831</v>
      </c>
      <c r="C93" s="1" t="n">
        <v>45830</v>
      </c>
      <c r="D93" t="inlineStr">
        <is>
          <t>VÄSTERBOTTENS LÄN</t>
        </is>
      </c>
      <c r="E93" t="inlineStr">
        <is>
          <t>SORSELE</t>
        </is>
      </c>
      <c r="G93" t="n">
        <v>4.8</v>
      </c>
      <c r="H93" t="n">
        <v>0</v>
      </c>
      <c r="I93" t="n">
        <v>0</v>
      </c>
      <c r="J93" t="n">
        <v>0</v>
      </c>
      <c r="K93" t="n">
        <v>0</v>
      </c>
      <c r="L93" t="n">
        <v>0</v>
      </c>
      <c r="M93" t="n">
        <v>0</v>
      </c>
      <c r="N93" t="n">
        <v>0</v>
      </c>
      <c r="O93" t="n">
        <v>0</v>
      </c>
      <c r="P93" t="n">
        <v>0</v>
      </c>
      <c r="Q93" t="n">
        <v>0</v>
      </c>
      <c r="R93" s="2" t="inlineStr"/>
    </row>
    <row r="94" ht="15" customHeight="1">
      <c r="A94" t="inlineStr">
        <is>
          <t>A 9326-2020</t>
        </is>
      </c>
      <c r="B94" s="1" t="n">
        <v>43880</v>
      </c>
      <c r="C94" s="1" t="n">
        <v>45830</v>
      </c>
      <c r="D94" t="inlineStr">
        <is>
          <t>VÄSTERBOTTENS LÄN</t>
        </is>
      </c>
      <c r="E94" t="inlineStr">
        <is>
          <t>SORSELE</t>
        </is>
      </c>
      <c r="F94" t="inlineStr">
        <is>
          <t>Kommuner</t>
        </is>
      </c>
      <c r="G94" t="n">
        <v>5.7</v>
      </c>
      <c r="H94" t="n">
        <v>0</v>
      </c>
      <c r="I94" t="n">
        <v>0</v>
      </c>
      <c r="J94" t="n">
        <v>0</v>
      </c>
      <c r="K94" t="n">
        <v>0</v>
      </c>
      <c r="L94" t="n">
        <v>0</v>
      </c>
      <c r="M94" t="n">
        <v>0</v>
      </c>
      <c r="N94" t="n">
        <v>0</v>
      </c>
      <c r="O94" t="n">
        <v>0</v>
      </c>
      <c r="P94" t="n">
        <v>0</v>
      </c>
      <c r="Q94" t="n">
        <v>0</v>
      </c>
      <c r="R94" s="2" t="inlineStr"/>
    </row>
    <row r="95" ht="15" customHeight="1">
      <c r="A95" t="inlineStr">
        <is>
          <t>A 16610-2020</t>
        </is>
      </c>
      <c r="B95" s="1" t="n">
        <v>43909</v>
      </c>
      <c r="C95" s="1" t="n">
        <v>45830</v>
      </c>
      <c r="D95" t="inlineStr">
        <is>
          <t>VÄSTERBOTTENS LÄN</t>
        </is>
      </c>
      <c r="E95" t="inlineStr">
        <is>
          <t>SORSELE</t>
        </is>
      </c>
      <c r="G95" t="n">
        <v>4.2</v>
      </c>
      <c r="H95" t="n">
        <v>0</v>
      </c>
      <c r="I95" t="n">
        <v>0</v>
      </c>
      <c r="J95" t="n">
        <v>0</v>
      </c>
      <c r="K95" t="n">
        <v>0</v>
      </c>
      <c r="L95" t="n">
        <v>0</v>
      </c>
      <c r="M95" t="n">
        <v>0</v>
      </c>
      <c r="N95" t="n">
        <v>0</v>
      </c>
      <c r="O95" t="n">
        <v>0</v>
      </c>
      <c r="P95" t="n">
        <v>0</v>
      </c>
      <c r="Q95" t="n">
        <v>0</v>
      </c>
      <c r="R95" s="2" t="inlineStr"/>
    </row>
    <row r="96" ht="15" customHeight="1">
      <c r="A96" t="inlineStr">
        <is>
          <t>A 15428-2020</t>
        </is>
      </c>
      <c r="B96" s="1" t="n">
        <v>43914</v>
      </c>
      <c r="C96" s="1" t="n">
        <v>45830</v>
      </c>
      <c r="D96" t="inlineStr">
        <is>
          <t>VÄSTERBOTTENS LÄN</t>
        </is>
      </c>
      <c r="E96" t="inlineStr">
        <is>
          <t>SORSELE</t>
        </is>
      </c>
      <c r="F96" t="inlineStr">
        <is>
          <t>Sveaskog</t>
        </is>
      </c>
      <c r="G96" t="n">
        <v>19.6</v>
      </c>
      <c r="H96" t="n">
        <v>0</v>
      </c>
      <c r="I96" t="n">
        <v>0</v>
      </c>
      <c r="J96" t="n">
        <v>0</v>
      </c>
      <c r="K96" t="n">
        <v>0</v>
      </c>
      <c r="L96" t="n">
        <v>0</v>
      </c>
      <c r="M96" t="n">
        <v>0</v>
      </c>
      <c r="N96" t="n">
        <v>0</v>
      </c>
      <c r="O96" t="n">
        <v>0</v>
      </c>
      <c r="P96" t="n">
        <v>0</v>
      </c>
      <c r="Q96" t="n">
        <v>0</v>
      </c>
      <c r="R96" s="2" t="inlineStr"/>
    </row>
    <row r="97" ht="15" customHeight="1">
      <c r="A97" t="inlineStr">
        <is>
          <t>A 16392-2020</t>
        </is>
      </c>
      <c r="B97" s="1" t="n">
        <v>43917</v>
      </c>
      <c r="C97" s="1" t="n">
        <v>45830</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16587-2020</t>
        </is>
      </c>
      <c r="B98" s="1" t="n">
        <v>43920</v>
      </c>
      <c r="C98" s="1" t="n">
        <v>45830</v>
      </c>
      <c r="D98" t="inlineStr">
        <is>
          <t>VÄSTERBOTTENS LÄN</t>
        </is>
      </c>
      <c r="E98" t="inlineStr">
        <is>
          <t>SORSELE</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17722-2020</t>
        </is>
      </c>
      <c r="B99" s="1" t="n">
        <v>43922</v>
      </c>
      <c r="C99" s="1" t="n">
        <v>45830</v>
      </c>
      <c r="D99" t="inlineStr">
        <is>
          <t>VÄSTERBOTTENS LÄN</t>
        </is>
      </c>
      <c r="E99" t="inlineStr">
        <is>
          <t>SORSELE</t>
        </is>
      </c>
      <c r="G99" t="n">
        <v>2.9</v>
      </c>
      <c r="H99" t="n">
        <v>0</v>
      </c>
      <c r="I99" t="n">
        <v>0</v>
      </c>
      <c r="J99" t="n">
        <v>0</v>
      </c>
      <c r="K99" t="n">
        <v>0</v>
      </c>
      <c r="L99" t="n">
        <v>0</v>
      </c>
      <c r="M99" t="n">
        <v>0</v>
      </c>
      <c r="N99" t="n">
        <v>0</v>
      </c>
      <c r="O99" t="n">
        <v>0</v>
      </c>
      <c r="P99" t="n">
        <v>0</v>
      </c>
      <c r="Q99" t="n">
        <v>0</v>
      </c>
      <c r="R99" s="2" t="inlineStr"/>
    </row>
    <row r="100" ht="15" customHeight="1">
      <c r="A100" t="inlineStr">
        <is>
          <t>A 17730-2020</t>
        </is>
      </c>
      <c r="B100" s="1" t="n">
        <v>43922</v>
      </c>
      <c r="C100" s="1" t="n">
        <v>45830</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18938-2020</t>
        </is>
      </c>
      <c r="B101" s="1" t="n">
        <v>43935</v>
      </c>
      <c r="C101" s="1" t="n">
        <v>45830</v>
      </c>
      <c r="D101" t="inlineStr">
        <is>
          <t>VÄSTERBOTTENS LÄN</t>
        </is>
      </c>
      <c r="E101" t="inlineStr">
        <is>
          <t>SORSELE</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22464-2020</t>
        </is>
      </c>
      <c r="B102" s="1" t="n">
        <v>43958</v>
      </c>
      <c r="C102" s="1" t="n">
        <v>45830</v>
      </c>
      <c r="D102" t="inlineStr">
        <is>
          <t>VÄSTERBOTTENS LÄN</t>
        </is>
      </c>
      <c r="E102" t="inlineStr">
        <is>
          <t>SORSELE</t>
        </is>
      </c>
      <c r="G102" t="n">
        <v>12.2</v>
      </c>
      <c r="H102" t="n">
        <v>0</v>
      </c>
      <c r="I102" t="n">
        <v>0</v>
      </c>
      <c r="J102" t="n">
        <v>0</v>
      </c>
      <c r="K102" t="n">
        <v>0</v>
      </c>
      <c r="L102" t="n">
        <v>0</v>
      </c>
      <c r="M102" t="n">
        <v>0</v>
      </c>
      <c r="N102" t="n">
        <v>0</v>
      </c>
      <c r="O102" t="n">
        <v>0</v>
      </c>
      <c r="P102" t="n">
        <v>0</v>
      </c>
      <c r="Q102" t="n">
        <v>0</v>
      </c>
      <c r="R102" s="2" t="inlineStr"/>
    </row>
    <row r="103" ht="15" customHeight="1">
      <c r="A103" t="inlineStr">
        <is>
          <t>A 23104-2020</t>
        </is>
      </c>
      <c r="B103" s="1" t="n">
        <v>43965</v>
      </c>
      <c r="C103" s="1" t="n">
        <v>45830</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26961-2020</t>
        </is>
      </c>
      <c r="B104" s="1" t="n">
        <v>43990</v>
      </c>
      <c r="C104" s="1" t="n">
        <v>45830</v>
      </c>
      <c r="D104" t="inlineStr">
        <is>
          <t>VÄSTERBOTTENS LÄN</t>
        </is>
      </c>
      <c r="E104" t="inlineStr">
        <is>
          <t>SORSELE</t>
        </is>
      </c>
      <c r="G104" t="n">
        <v>12.6</v>
      </c>
      <c r="H104" t="n">
        <v>0</v>
      </c>
      <c r="I104" t="n">
        <v>0</v>
      </c>
      <c r="J104" t="n">
        <v>0</v>
      </c>
      <c r="K104" t="n">
        <v>0</v>
      </c>
      <c r="L104" t="n">
        <v>0</v>
      </c>
      <c r="M104" t="n">
        <v>0</v>
      </c>
      <c r="N104" t="n">
        <v>0</v>
      </c>
      <c r="O104" t="n">
        <v>0</v>
      </c>
      <c r="P104" t="n">
        <v>0</v>
      </c>
      <c r="Q104" t="n">
        <v>0</v>
      </c>
      <c r="R104" s="2" t="inlineStr"/>
    </row>
    <row r="105" ht="15" customHeight="1">
      <c r="A105" t="inlineStr">
        <is>
          <t>A 26978-2020</t>
        </is>
      </c>
      <c r="B105" s="1" t="n">
        <v>43991</v>
      </c>
      <c r="C105" s="1" t="n">
        <v>45830</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26977-2020</t>
        </is>
      </c>
      <c r="B106" s="1" t="n">
        <v>43991</v>
      </c>
      <c r="C106" s="1" t="n">
        <v>45830</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35230-2020</t>
        </is>
      </c>
      <c r="B107" s="1" t="n">
        <v>44041</v>
      </c>
      <c r="C107" s="1" t="n">
        <v>45830</v>
      </c>
      <c r="D107" t="inlineStr">
        <is>
          <t>VÄSTERBOTTENS LÄN</t>
        </is>
      </c>
      <c r="E107" t="inlineStr">
        <is>
          <t>SORSELE</t>
        </is>
      </c>
      <c r="F107" t="inlineStr">
        <is>
          <t>Sveaskog</t>
        </is>
      </c>
      <c r="G107" t="n">
        <v>41.8</v>
      </c>
      <c r="H107" t="n">
        <v>0</v>
      </c>
      <c r="I107" t="n">
        <v>0</v>
      </c>
      <c r="J107" t="n">
        <v>0</v>
      </c>
      <c r="K107" t="n">
        <v>0</v>
      </c>
      <c r="L107" t="n">
        <v>0</v>
      </c>
      <c r="M107" t="n">
        <v>0</v>
      </c>
      <c r="N107" t="n">
        <v>0</v>
      </c>
      <c r="O107" t="n">
        <v>0</v>
      </c>
      <c r="P107" t="n">
        <v>0</v>
      </c>
      <c r="Q107" t="n">
        <v>0</v>
      </c>
      <c r="R107" s="2" t="inlineStr"/>
    </row>
    <row r="108" ht="15" customHeight="1">
      <c r="A108" t="inlineStr">
        <is>
          <t>A 35590-2020</t>
        </is>
      </c>
      <c r="B108" s="1" t="n">
        <v>44043</v>
      </c>
      <c r="C108" s="1" t="n">
        <v>45830</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39158-2020</t>
        </is>
      </c>
      <c r="B109" s="1" t="n">
        <v>44063</v>
      </c>
      <c r="C109" s="1" t="n">
        <v>45830</v>
      </c>
      <c r="D109" t="inlineStr">
        <is>
          <t>VÄSTERBOTTENS LÄN</t>
        </is>
      </c>
      <c r="E109" t="inlineStr">
        <is>
          <t>SORSELE</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48533-2020</t>
        </is>
      </c>
      <c r="B110" s="1" t="n">
        <v>44078</v>
      </c>
      <c r="C110" s="1" t="n">
        <v>45830</v>
      </c>
      <c r="D110" t="inlineStr">
        <is>
          <t>VÄSTERBOTTENS LÄN</t>
        </is>
      </c>
      <c r="E110" t="inlineStr">
        <is>
          <t>SORSELE</t>
        </is>
      </c>
      <c r="F110" t="inlineStr">
        <is>
          <t>Allmännings- och besparingsskogar</t>
        </is>
      </c>
      <c r="G110" t="n">
        <v>115.4</v>
      </c>
      <c r="H110" t="n">
        <v>0</v>
      </c>
      <c r="I110" t="n">
        <v>0</v>
      </c>
      <c r="J110" t="n">
        <v>0</v>
      </c>
      <c r="K110" t="n">
        <v>0</v>
      </c>
      <c r="L110" t="n">
        <v>0</v>
      </c>
      <c r="M110" t="n">
        <v>0</v>
      </c>
      <c r="N110" t="n">
        <v>0</v>
      </c>
      <c r="O110" t="n">
        <v>0</v>
      </c>
      <c r="P110" t="n">
        <v>0</v>
      </c>
      <c r="Q110" t="n">
        <v>0</v>
      </c>
      <c r="R110" s="2" t="inlineStr"/>
    </row>
    <row r="111" ht="15" customHeight="1">
      <c r="A111" t="inlineStr">
        <is>
          <t>A 47987-2020</t>
        </is>
      </c>
      <c r="B111" s="1" t="n">
        <v>44078</v>
      </c>
      <c r="C111" s="1" t="n">
        <v>45830</v>
      </c>
      <c r="D111" t="inlineStr">
        <is>
          <t>VÄSTERBOTTENS LÄN</t>
        </is>
      </c>
      <c r="E111" t="inlineStr">
        <is>
          <t>SORSELE</t>
        </is>
      </c>
      <c r="F111" t="inlineStr">
        <is>
          <t>Allmännings- och besparingsskogar</t>
        </is>
      </c>
      <c r="G111" t="n">
        <v>273.4</v>
      </c>
      <c r="H111" t="n">
        <v>0</v>
      </c>
      <c r="I111" t="n">
        <v>0</v>
      </c>
      <c r="J111" t="n">
        <v>0</v>
      </c>
      <c r="K111" t="n">
        <v>0</v>
      </c>
      <c r="L111" t="n">
        <v>0</v>
      </c>
      <c r="M111" t="n">
        <v>0</v>
      </c>
      <c r="N111" t="n">
        <v>0</v>
      </c>
      <c r="O111" t="n">
        <v>0</v>
      </c>
      <c r="P111" t="n">
        <v>0</v>
      </c>
      <c r="Q111" t="n">
        <v>0</v>
      </c>
      <c r="R111" s="2" t="inlineStr"/>
    </row>
    <row r="112" ht="15" customHeight="1">
      <c r="A112" t="inlineStr">
        <is>
          <t>A 43977-2020</t>
        </is>
      </c>
      <c r="B112" s="1" t="n">
        <v>44078</v>
      </c>
      <c r="C112" s="1" t="n">
        <v>45830</v>
      </c>
      <c r="D112" t="inlineStr">
        <is>
          <t>VÄSTERBOTTENS LÄN</t>
        </is>
      </c>
      <c r="E112" t="inlineStr">
        <is>
          <t>SORSELE</t>
        </is>
      </c>
      <c r="F112" t="inlineStr">
        <is>
          <t>Allmännings- och besparingsskogar</t>
        </is>
      </c>
      <c r="G112" t="n">
        <v>149.4</v>
      </c>
      <c r="H112" t="n">
        <v>0</v>
      </c>
      <c r="I112" t="n">
        <v>0</v>
      </c>
      <c r="J112" t="n">
        <v>0</v>
      </c>
      <c r="K112" t="n">
        <v>0</v>
      </c>
      <c r="L112" t="n">
        <v>0</v>
      </c>
      <c r="M112" t="n">
        <v>0</v>
      </c>
      <c r="N112" t="n">
        <v>0</v>
      </c>
      <c r="O112" t="n">
        <v>0</v>
      </c>
      <c r="P112" t="n">
        <v>0</v>
      </c>
      <c r="Q112" t="n">
        <v>0</v>
      </c>
      <c r="R112" s="2" t="inlineStr"/>
    </row>
    <row r="113" ht="15" customHeight="1">
      <c r="A113" t="inlineStr">
        <is>
          <t>A 45021-2020</t>
        </is>
      </c>
      <c r="B113" s="1" t="n">
        <v>44083</v>
      </c>
      <c r="C113" s="1" t="n">
        <v>45830</v>
      </c>
      <c r="D113" t="inlineStr">
        <is>
          <t>VÄSTERBOTTENS LÄN</t>
        </is>
      </c>
      <c r="E113" t="inlineStr">
        <is>
          <t>SORSELE</t>
        </is>
      </c>
      <c r="G113" t="n">
        <v>0.4</v>
      </c>
      <c r="H113" t="n">
        <v>0</v>
      </c>
      <c r="I113" t="n">
        <v>0</v>
      </c>
      <c r="J113" t="n">
        <v>0</v>
      </c>
      <c r="K113" t="n">
        <v>0</v>
      </c>
      <c r="L113" t="n">
        <v>0</v>
      </c>
      <c r="M113" t="n">
        <v>0</v>
      </c>
      <c r="N113" t="n">
        <v>0</v>
      </c>
      <c r="O113" t="n">
        <v>0</v>
      </c>
      <c r="P113" t="n">
        <v>0</v>
      </c>
      <c r="Q113" t="n">
        <v>0</v>
      </c>
      <c r="R113" s="2" t="inlineStr"/>
    </row>
    <row r="114" ht="15" customHeight="1">
      <c r="A114" t="inlineStr">
        <is>
          <t>A 45628-2020</t>
        </is>
      </c>
      <c r="B114" s="1" t="n">
        <v>44090</v>
      </c>
      <c r="C114" s="1" t="n">
        <v>45830</v>
      </c>
      <c r="D114" t="inlineStr">
        <is>
          <t>VÄSTERBOTTENS LÄN</t>
        </is>
      </c>
      <c r="E114" t="inlineStr">
        <is>
          <t>SORSELE</t>
        </is>
      </c>
      <c r="F114" t="inlineStr">
        <is>
          <t>Sveaskog</t>
        </is>
      </c>
      <c r="G114" t="n">
        <v>23.9</v>
      </c>
      <c r="H114" t="n">
        <v>0</v>
      </c>
      <c r="I114" t="n">
        <v>0</v>
      </c>
      <c r="J114" t="n">
        <v>0</v>
      </c>
      <c r="K114" t="n">
        <v>0</v>
      </c>
      <c r="L114" t="n">
        <v>0</v>
      </c>
      <c r="M114" t="n">
        <v>0</v>
      </c>
      <c r="N114" t="n">
        <v>0</v>
      </c>
      <c r="O114" t="n">
        <v>0</v>
      </c>
      <c r="P114" t="n">
        <v>0</v>
      </c>
      <c r="Q114" t="n">
        <v>0</v>
      </c>
      <c r="R114" s="2" t="inlineStr"/>
    </row>
    <row r="115" ht="15" customHeight="1">
      <c r="A115" t="inlineStr">
        <is>
          <t>A 47848-2020</t>
        </is>
      </c>
      <c r="B115" s="1" t="n">
        <v>44098</v>
      </c>
      <c r="C115" s="1" t="n">
        <v>45830</v>
      </c>
      <c r="D115" t="inlineStr">
        <is>
          <t>VÄSTERBOTTENS LÄN</t>
        </is>
      </c>
      <c r="E115" t="inlineStr">
        <is>
          <t>SORSELE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48414-2020</t>
        </is>
      </c>
      <c r="B116" s="1" t="n">
        <v>44102</v>
      </c>
      <c r="C116" s="1" t="n">
        <v>45830</v>
      </c>
      <c r="D116" t="inlineStr">
        <is>
          <t>VÄSTERBOTTENS LÄN</t>
        </is>
      </c>
      <c r="E116" t="inlineStr">
        <is>
          <t>SORSELE</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48440-2020</t>
        </is>
      </c>
      <c r="B117" s="1" t="n">
        <v>44102</v>
      </c>
      <c r="C117" s="1" t="n">
        <v>45830</v>
      </c>
      <c r="D117" t="inlineStr">
        <is>
          <t>VÄSTERBOTTENS LÄN</t>
        </is>
      </c>
      <c r="E117" t="inlineStr">
        <is>
          <t>SORSELE</t>
        </is>
      </c>
      <c r="F117" t="inlineStr">
        <is>
          <t>Sveaskog</t>
        </is>
      </c>
      <c r="G117" t="n">
        <v>16.5</v>
      </c>
      <c r="H117" t="n">
        <v>0</v>
      </c>
      <c r="I117" t="n">
        <v>0</v>
      </c>
      <c r="J117" t="n">
        <v>0</v>
      </c>
      <c r="K117" t="n">
        <v>0</v>
      </c>
      <c r="L117" t="n">
        <v>0</v>
      </c>
      <c r="M117" t="n">
        <v>0</v>
      </c>
      <c r="N117" t="n">
        <v>0</v>
      </c>
      <c r="O117" t="n">
        <v>0</v>
      </c>
      <c r="P117" t="n">
        <v>0</v>
      </c>
      <c r="Q117" t="n">
        <v>0</v>
      </c>
      <c r="R117" s="2" t="inlineStr"/>
    </row>
    <row r="118" ht="15" customHeight="1">
      <c r="A118" t="inlineStr">
        <is>
          <t>A 48443-2020</t>
        </is>
      </c>
      <c r="B118" s="1" t="n">
        <v>44102</v>
      </c>
      <c r="C118" s="1" t="n">
        <v>45830</v>
      </c>
      <c r="D118" t="inlineStr">
        <is>
          <t>VÄSTERBOTTENS LÄN</t>
        </is>
      </c>
      <c r="E118" t="inlineStr">
        <is>
          <t>SORSELE</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48438-2020</t>
        </is>
      </c>
      <c r="B119" s="1" t="n">
        <v>44102</v>
      </c>
      <c r="C119" s="1" t="n">
        <v>45830</v>
      </c>
      <c r="D119" t="inlineStr">
        <is>
          <t>VÄSTERBOTTENS LÄN</t>
        </is>
      </c>
      <c r="E119" t="inlineStr">
        <is>
          <t>SORSELE</t>
        </is>
      </c>
      <c r="F119" t="inlineStr">
        <is>
          <t>Sveaskog</t>
        </is>
      </c>
      <c r="G119" t="n">
        <v>3</v>
      </c>
      <c r="H119" t="n">
        <v>0</v>
      </c>
      <c r="I119" t="n">
        <v>0</v>
      </c>
      <c r="J119" t="n">
        <v>0</v>
      </c>
      <c r="K119" t="n">
        <v>0</v>
      </c>
      <c r="L119" t="n">
        <v>0</v>
      </c>
      <c r="M119" t="n">
        <v>0</v>
      </c>
      <c r="N119" t="n">
        <v>0</v>
      </c>
      <c r="O119" t="n">
        <v>0</v>
      </c>
      <c r="P119" t="n">
        <v>0</v>
      </c>
      <c r="Q119" t="n">
        <v>0</v>
      </c>
      <c r="R119" s="2" t="inlineStr"/>
    </row>
    <row r="120" ht="15" customHeight="1">
      <c r="A120" t="inlineStr">
        <is>
          <t>A 52500-2020</t>
        </is>
      </c>
      <c r="B120" s="1" t="n">
        <v>44113</v>
      </c>
      <c r="C120" s="1" t="n">
        <v>45830</v>
      </c>
      <c r="D120" t="inlineStr">
        <is>
          <t>VÄSTERBOTTENS LÄN</t>
        </is>
      </c>
      <c r="E120" t="inlineStr">
        <is>
          <t>SORSELE</t>
        </is>
      </c>
      <c r="G120" t="n">
        <v>2</v>
      </c>
      <c r="H120" t="n">
        <v>0</v>
      </c>
      <c r="I120" t="n">
        <v>0</v>
      </c>
      <c r="J120" t="n">
        <v>0</v>
      </c>
      <c r="K120" t="n">
        <v>0</v>
      </c>
      <c r="L120" t="n">
        <v>0</v>
      </c>
      <c r="M120" t="n">
        <v>0</v>
      </c>
      <c r="N120" t="n">
        <v>0</v>
      </c>
      <c r="O120" t="n">
        <v>0</v>
      </c>
      <c r="P120" t="n">
        <v>0</v>
      </c>
      <c r="Q120" t="n">
        <v>0</v>
      </c>
      <c r="R120" s="2" t="inlineStr"/>
    </row>
    <row r="121" ht="15" customHeight="1">
      <c r="A121" t="inlineStr">
        <is>
          <t>A 56375-2020</t>
        </is>
      </c>
      <c r="B121" s="1" t="n">
        <v>44136</v>
      </c>
      <c r="C121" s="1" t="n">
        <v>45830</v>
      </c>
      <c r="D121" t="inlineStr">
        <is>
          <t>VÄSTERBOTTENS LÄN</t>
        </is>
      </c>
      <c r="E121" t="inlineStr">
        <is>
          <t>SORSELE</t>
        </is>
      </c>
      <c r="G121" t="n">
        <v>0.4</v>
      </c>
      <c r="H121" t="n">
        <v>0</v>
      </c>
      <c r="I121" t="n">
        <v>0</v>
      </c>
      <c r="J121" t="n">
        <v>0</v>
      </c>
      <c r="K121" t="n">
        <v>0</v>
      </c>
      <c r="L121" t="n">
        <v>0</v>
      </c>
      <c r="M121" t="n">
        <v>0</v>
      </c>
      <c r="N121" t="n">
        <v>0</v>
      </c>
      <c r="O121" t="n">
        <v>0</v>
      </c>
      <c r="P121" t="n">
        <v>0</v>
      </c>
      <c r="Q121" t="n">
        <v>0</v>
      </c>
      <c r="R121" s="2" t="inlineStr"/>
    </row>
    <row r="122" ht="15" customHeight="1">
      <c r="A122" t="inlineStr">
        <is>
          <t>A 57774-2020</t>
        </is>
      </c>
      <c r="B122" s="1" t="n">
        <v>44141</v>
      </c>
      <c r="C122" s="1" t="n">
        <v>45830</v>
      </c>
      <c r="D122" t="inlineStr">
        <is>
          <t>VÄSTERBOTTENS LÄN</t>
        </is>
      </c>
      <c r="E122" t="inlineStr">
        <is>
          <t>SORSELE</t>
        </is>
      </c>
      <c r="G122" t="n">
        <v>20</v>
      </c>
      <c r="H122" t="n">
        <v>0</v>
      </c>
      <c r="I122" t="n">
        <v>0</v>
      </c>
      <c r="J122" t="n">
        <v>0</v>
      </c>
      <c r="K122" t="n">
        <v>0</v>
      </c>
      <c r="L122" t="n">
        <v>0</v>
      </c>
      <c r="M122" t="n">
        <v>0</v>
      </c>
      <c r="N122" t="n">
        <v>0</v>
      </c>
      <c r="O122" t="n">
        <v>0</v>
      </c>
      <c r="P122" t="n">
        <v>0</v>
      </c>
      <c r="Q122" t="n">
        <v>0</v>
      </c>
      <c r="R122" s="2" t="inlineStr"/>
    </row>
    <row r="123" ht="15" customHeight="1">
      <c r="A123" t="inlineStr">
        <is>
          <t>A 58597-2020</t>
        </is>
      </c>
      <c r="B123" s="1" t="n">
        <v>44145</v>
      </c>
      <c r="C123" s="1" t="n">
        <v>45830</v>
      </c>
      <c r="D123" t="inlineStr">
        <is>
          <t>VÄSTERBOTTENS LÄN</t>
        </is>
      </c>
      <c r="E123" t="inlineStr">
        <is>
          <t>SORSELE</t>
        </is>
      </c>
      <c r="G123" t="n">
        <v>30.2</v>
      </c>
      <c r="H123" t="n">
        <v>0</v>
      </c>
      <c r="I123" t="n">
        <v>0</v>
      </c>
      <c r="J123" t="n">
        <v>0</v>
      </c>
      <c r="K123" t="n">
        <v>0</v>
      </c>
      <c r="L123" t="n">
        <v>0</v>
      </c>
      <c r="M123" t="n">
        <v>0</v>
      </c>
      <c r="N123" t="n">
        <v>0</v>
      </c>
      <c r="O123" t="n">
        <v>0</v>
      </c>
      <c r="P123" t="n">
        <v>0</v>
      </c>
      <c r="Q123" t="n">
        <v>0</v>
      </c>
      <c r="R123" s="2" t="inlineStr"/>
    </row>
    <row r="124" ht="15" customHeight="1">
      <c r="A124" t="inlineStr">
        <is>
          <t>A 58611-2020</t>
        </is>
      </c>
      <c r="B124" s="1" t="n">
        <v>44145</v>
      </c>
      <c r="C124" s="1" t="n">
        <v>45830</v>
      </c>
      <c r="D124" t="inlineStr">
        <is>
          <t>VÄSTERBOTTENS LÄN</t>
        </is>
      </c>
      <c r="E124" t="inlineStr">
        <is>
          <t>SORSELE</t>
        </is>
      </c>
      <c r="G124" t="n">
        <v>47.9</v>
      </c>
      <c r="H124" t="n">
        <v>0</v>
      </c>
      <c r="I124" t="n">
        <v>0</v>
      </c>
      <c r="J124" t="n">
        <v>0</v>
      </c>
      <c r="K124" t="n">
        <v>0</v>
      </c>
      <c r="L124" t="n">
        <v>0</v>
      </c>
      <c r="M124" t="n">
        <v>0</v>
      </c>
      <c r="N124" t="n">
        <v>0</v>
      </c>
      <c r="O124" t="n">
        <v>0</v>
      </c>
      <c r="P124" t="n">
        <v>0</v>
      </c>
      <c r="Q124" t="n">
        <v>0</v>
      </c>
      <c r="R124" s="2" t="inlineStr"/>
    </row>
    <row r="125" ht="15" customHeight="1">
      <c r="A125" t="inlineStr">
        <is>
          <t>A 58607-2020</t>
        </is>
      </c>
      <c r="B125" s="1" t="n">
        <v>44145</v>
      </c>
      <c r="C125" s="1" t="n">
        <v>45830</v>
      </c>
      <c r="D125" t="inlineStr">
        <is>
          <t>VÄSTERBOTTENS LÄN</t>
        </is>
      </c>
      <c r="E125" t="inlineStr">
        <is>
          <t>SORSELE</t>
        </is>
      </c>
      <c r="G125" t="n">
        <v>48.4</v>
      </c>
      <c r="H125" t="n">
        <v>0</v>
      </c>
      <c r="I125" t="n">
        <v>0</v>
      </c>
      <c r="J125" t="n">
        <v>0</v>
      </c>
      <c r="K125" t="n">
        <v>0</v>
      </c>
      <c r="L125" t="n">
        <v>0</v>
      </c>
      <c r="M125" t="n">
        <v>0</v>
      </c>
      <c r="N125" t="n">
        <v>0</v>
      </c>
      <c r="O125" t="n">
        <v>0</v>
      </c>
      <c r="P125" t="n">
        <v>0</v>
      </c>
      <c r="Q125" t="n">
        <v>0</v>
      </c>
      <c r="R125" s="2" t="inlineStr"/>
    </row>
    <row r="126" ht="15" customHeight="1">
      <c r="A126" t="inlineStr">
        <is>
          <t>A 59917-2020</t>
        </is>
      </c>
      <c r="B126" s="1" t="n">
        <v>44148</v>
      </c>
      <c r="C126" s="1" t="n">
        <v>45830</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59911-2020</t>
        </is>
      </c>
      <c r="B127" s="1" t="n">
        <v>44148</v>
      </c>
      <c r="C127" s="1" t="n">
        <v>45830</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59621-2020</t>
        </is>
      </c>
      <c r="B128" s="1" t="n">
        <v>44150</v>
      </c>
      <c r="C128" s="1" t="n">
        <v>45830</v>
      </c>
      <c r="D128" t="inlineStr">
        <is>
          <t>VÄSTERBOTTENS LÄN</t>
        </is>
      </c>
      <c r="E128" t="inlineStr">
        <is>
          <t>SORSELE</t>
        </is>
      </c>
      <c r="G128" t="n">
        <v>3.1</v>
      </c>
      <c r="H128" t="n">
        <v>0</v>
      </c>
      <c r="I128" t="n">
        <v>0</v>
      </c>
      <c r="J128" t="n">
        <v>0</v>
      </c>
      <c r="K128" t="n">
        <v>0</v>
      </c>
      <c r="L128" t="n">
        <v>0</v>
      </c>
      <c r="M128" t="n">
        <v>0</v>
      </c>
      <c r="N128" t="n">
        <v>0</v>
      </c>
      <c r="O128" t="n">
        <v>0</v>
      </c>
      <c r="P128" t="n">
        <v>0</v>
      </c>
      <c r="Q128" t="n">
        <v>0</v>
      </c>
      <c r="R128" s="2" t="inlineStr"/>
    </row>
    <row r="129" ht="15" customHeight="1">
      <c r="A129" t="inlineStr">
        <is>
          <t>A 65597-2020</t>
        </is>
      </c>
      <c r="B129" s="1" t="n">
        <v>44173</v>
      </c>
      <c r="C129" s="1" t="n">
        <v>45830</v>
      </c>
      <c r="D129" t="inlineStr">
        <is>
          <t>VÄSTERBOTTENS LÄN</t>
        </is>
      </c>
      <c r="E129" t="inlineStr">
        <is>
          <t>SORSELE</t>
        </is>
      </c>
      <c r="G129" t="n">
        <v>16.5</v>
      </c>
      <c r="H129" t="n">
        <v>0</v>
      </c>
      <c r="I129" t="n">
        <v>0</v>
      </c>
      <c r="J129" t="n">
        <v>0</v>
      </c>
      <c r="K129" t="n">
        <v>0</v>
      </c>
      <c r="L129" t="n">
        <v>0</v>
      </c>
      <c r="M129" t="n">
        <v>0</v>
      </c>
      <c r="N129" t="n">
        <v>0</v>
      </c>
      <c r="O129" t="n">
        <v>0</v>
      </c>
      <c r="P129" t="n">
        <v>0</v>
      </c>
      <c r="Q129" t="n">
        <v>0</v>
      </c>
      <c r="R129" s="2" t="inlineStr"/>
    </row>
    <row r="130" ht="15" customHeight="1">
      <c r="A130" t="inlineStr">
        <is>
          <t>A 67392-2020</t>
        </is>
      </c>
      <c r="B130" s="1" t="n">
        <v>44179</v>
      </c>
      <c r="C130" s="1" t="n">
        <v>45830</v>
      </c>
      <c r="D130" t="inlineStr">
        <is>
          <t>VÄSTERBOTTENS LÄN</t>
        </is>
      </c>
      <c r="E130" t="inlineStr">
        <is>
          <t>SORSELE</t>
        </is>
      </c>
      <c r="G130" t="n">
        <v>11</v>
      </c>
      <c r="H130" t="n">
        <v>0</v>
      </c>
      <c r="I130" t="n">
        <v>0</v>
      </c>
      <c r="J130" t="n">
        <v>0</v>
      </c>
      <c r="K130" t="n">
        <v>0</v>
      </c>
      <c r="L130" t="n">
        <v>0</v>
      </c>
      <c r="M130" t="n">
        <v>0</v>
      </c>
      <c r="N130" t="n">
        <v>0</v>
      </c>
      <c r="O130" t="n">
        <v>0</v>
      </c>
      <c r="P130" t="n">
        <v>0</v>
      </c>
      <c r="Q130" t="n">
        <v>0</v>
      </c>
      <c r="R130" s="2" t="inlineStr"/>
    </row>
    <row r="131" ht="15" customHeight="1">
      <c r="A131" t="inlineStr">
        <is>
          <t>A 67497-2020</t>
        </is>
      </c>
      <c r="B131" s="1" t="n">
        <v>44180</v>
      </c>
      <c r="C131" s="1" t="n">
        <v>45830</v>
      </c>
      <c r="D131" t="inlineStr">
        <is>
          <t>VÄSTERBOTTENS LÄN</t>
        </is>
      </c>
      <c r="E131" t="inlineStr">
        <is>
          <t>SORSELE</t>
        </is>
      </c>
      <c r="G131" t="n">
        <v>2.5</v>
      </c>
      <c r="H131" t="n">
        <v>0</v>
      </c>
      <c r="I131" t="n">
        <v>0</v>
      </c>
      <c r="J131" t="n">
        <v>0</v>
      </c>
      <c r="K131" t="n">
        <v>0</v>
      </c>
      <c r="L131" t="n">
        <v>0</v>
      </c>
      <c r="M131" t="n">
        <v>0</v>
      </c>
      <c r="N131" t="n">
        <v>0</v>
      </c>
      <c r="O131" t="n">
        <v>0</v>
      </c>
      <c r="P131" t="n">
        <v>0</v>
      </c>
      <c r="Q131" t="n">
        <v>0</v>
      </c>
      <c r="R131" s="2" t="inlineStr"/>
    </row>
    <row r="132" ht="15" customHeight="1">
      <c r="A132" t="inlineStr">
        <is>
          <t>A 617-2021</t>
        </is>
      </c>
      <c r="B132" s="1" t="n">
        <v>44203</v>
      </c>
      <c r="C132" s="1" t="n">
        <v>45830</v>
      </c>
      <c r="D132" t="inlineStr">
        <is>
          <t>VÄSTERBOTTENS LÄN</t>
        </is>
      </c>
      <c r="E132" t="inlineStr">
        <is>
          <t>SORSELE</t>
        </is>
      </c>
      <c r="G132" t="n">
        <v>51.8</v>
      </c>
      <c r="H132" t="n">
        <v>0</v>
      </c>
      <c r="I132" t="n">
        <v>0</v>
      </c>
      <c r="J132" t="n">
        <v>0</v>
      </c>
      <c r="K132" t="n">
        <v>0</v>
      </c>
      <c r="L132" t="n">
        <v>0</v>
      </c>
      <c r="M132" t="n">
        <v>0</v>
      </c>
      <c r="N132" t="n">
        <v>0</v>
      </c>
      <c r="O132" t="n">
        <v>0</v>
      </c>
      <c r="P132" t="n">
        <v>0</v>
      </c>
      <c r="Q132" t="n">
        <v>0</v>
      </c>
      <c r="R132" s="2" t="inlineStr"/>
    </row>
    <row r="133" ht="15" customHeight="1">
      <c r="A133" t="inlineStr">
        <is>
          <t>A 933-2021</t>
        </is>
      </c>
      <c r="B133" s="1" t="n">
        <v>44207</v>
      </c>
      <c r="C133" s="1" t="n">
        <v>45830</v>
      </c>
      <c r="D133" t="inlineStr">
        <is>
          <t>VÄSTERBOTTENS LÄN</t>
        </is>
      </c>
      <c r="E133" t="inlineStr">
        <is>
          <t>SORSELE</t>
        </is>
      </c>
      <c r="F133" t="inlineStr">
        <is>
          <t>Sveaskog</t>
        </is>
      </c>
      <c r="G133" t="n">
        <v>12.4</v>
      </c>
      <c r="H133" t="n">
        <v>0</v>
      </c>
      <c r="I133" t="n">
        <v>0</v>
      </c>
      <c r="J133" t="n">
        <v>0</v>
      </c>
      <c r="K133" t="n">
        <v>0</v>
      </c>
      <c r="L133" t="n">
        <v>0</v>
      </c>
      <c r="M133" t="n">
        <v>0</v>
      </c>
      <c r="N133" t="n">
        <v>0</v>
      </c>
      <c r="O133" t="n">
        <v>0</v>
      </c>
      <c r="P133" t="n">
        <v>0</v>
      </c>
      <c r="Q133" t="n">
        <v>0</v>
      </c>
      <c r="R133" s="2" t="inlineStr"/>
    </row>
    <row r="134" ht="15" customHeight="1">
      <c r="A134" t="inlineStr">
        <is>
          <t>A 4053-2021</t>
        </is>
      </c>
      <c r="B134" s="1" t="n">
        <v>44218</v>
      </c>
      <c r="C134" s="1" t="n">
        <v>45830</v>
      </c>
      <c r="D134" t="inlineStr">
        <is>
          <t>VÄSTERBOTTENS LÄN</t>
        </is>
      </c>
      <c r="E134" t="inlineStr">
        <is>
          <t>SORSELE</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4054-2021</t>
        </is>
      </c>
      <c r="B135" s="1" t="n">
        <v>44218</v>
      </c>
      <c r="C135" s="1" t="n">
        <v>45830</v>
      </c>
      <c r="D135" t="inlineStr">
        <is>
          <t>VÄSTERBOTTENS LÄN</t>
        </is>
      </c>
      <c r="E135" t="inlineStr">
        <is>
          <t>SORSELE</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4490-2021</t>
        </is>
      </c>
      <c r="B136" s="1" t="n">
        <v>44222</v>
      </c>
      <c r="C136" s="1" t="n">
        <v>45830</v>
      </c>
      <c r="D136" t="inlineStr">
        <is>
          <t>VÄSTERBOTTENS LÄN</t>
        </is>
      </c>
      <c r="E136" t="inlineStr">
        <is>
          <t>SORSELE</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6650-2021</t>
        </is>
      </c>
      <c r="B137" s="1" t="n">
        <v>44227</v>
      </c>
      <c r="C137" s="1" t="n">
        <v>45830</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6197-2021</t>
        </is>
      </c>
      <c r="B138" s="1" t="n">
        <v>44234</v>
      </c>
      <c r="C138" s="1" t="n">
        <v>45830</v>
      </c>
      <c r="D138" t="inlineStr">
        <is>
          <t>VÄSTERBOTTENS LÄN</t>
        </is>
      </c>
      <c r="E138" t="inlineStr">
        <is>
          <t>SORSELE</t>
        </is>
      </c>
      <c r="G138" t="n">
        <v>2.3</v>
      </c>
      <c r="H138" t="n">
        <v>0</v>
      </c>
      <c r="I138" t="n">
        <v>0</v>
      </c>
      <c r="J138" t="n">
        <v>0</v>
      </c>
      <c r="K138" t="n">
        <v>0</v>
      </c>
      <c r="L138" t="n">
        <v>0</v>
      </c>
      <c r="M138" t="n">
        <v>0</v>
      </c>
      <c r="N138" t="n">
        <v>0</v>
      </c>
      <c r="O138" t="n">
        <v>0</v>
      </c>
      <c r="P138" t="n">
        <v>0</v>
      </c>
      <c r="Q138" t="n">
        <v>0</v>
      </c>
      <c r="R138" s="2" t="inlineStr"/>
    </row>
    <row r="139" ht="15" customHeight="1">
      <c r="A139" t="inlineStr">
        <is>
          <t>A 6198-2021</t>
        </is>
      </c>
      <c r="B139" s="1" t="n">
        <v>44234</v>
      </c>
      <c r="C139" s="1" t="n">
        <v>45830</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6340-2021</t>
        </is>
      </c>
      <c r="B140" s="1" t="n">
        <v>44235</v>
      </c>
      <c r="C140" s="1" t="n">
        <v>45830</v>
      </c>
      <c r="D140" t="inlineStr">
        <is>
          <t>VÄSTERBOTTENS LÄN</t>
        </is>
      </c>
      <c r="E140" t="inlineStr">
        <is>
          <t>SORSELE</t>
        </is>
      </c>
      <c r="G140" t="n">
        <v>5</v>
      </c>
      <c r="H140" t="n">
        <v>0</v>
      </c>
      <c r="I140" t="n">
        <v>0</v>
      </c>
      <c r="J140" t="n">
        <v>0</v>
      </c>
      <c r="K140" t="n">
        <v>0</v>
      </c>
      <c r="L140" t="n">
        <v>0</v>
      </c>
      <c r="M140" t="n">
        <v>0</v>
      </c>
      <c r="N140" t="n">
        <v>0</v>
      </c>
      <c r="O140" t="n">
        <v>0</v>
      </c>
      <c r="P140" t="n">
        <v>0</v>
      </c>
      <c r="Q140" t="n">
        <v>0</v>
      </c>
      <c r="R140" s="2" t="inlineStr"/>
    </row>
    <row r="141" ht="15" customHeight="1">
      <c r="A141" t="inlineStr">
        <is>
          <t>A 9508-2021</t>
        </is>
      </c>
      <c r="B141" s="1" t="n">
        <v>44251</v>
      </c>
      <c r="C141" s="1" t="n">
        <v>45830</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9539-2021</t>
        </is>
      </c>
      <c r="B142" s="1" t="n">
        <v>44251</v>
      </c>
      <c r="C142" s="1" t="n">
        <v>45830</v>
      </c>
      <c r="D142" t="inlineStr">
        <is>
          <t>VÄSTERBOTTENS LÄN</t>
        </is>
      </c>
      <c r="E142" t="inlineStr">
        <is>
          <t>SORSELE</t>
        </is>
      </c>
      <c r="G142" t="n">
        <v>1.1</v>
      </c>
      <c r="H142" t="n">
        <v>0</v>
      </c>
      <c r="I142" t="n">
        <v>0</v>
      </c>
      <c r="J142" t="n">
        <v>0</v>
      </c>
      <c r="K142" t="n">
        <v>0</v>
      </c>
      <c r="L142" t="n">
        <v>0</v>
      </c>
      <c r="M142" t="n">
        <v>0</v>
      </c>
      <c r="N142" t="n">
        <v>0</v>
      </c>
      <c r="O142" t="n">
        <v>0</v>
      </c>
      <c r="P142" t="n">
        <v>0</v>
      </c>
      <c r="Q142" t="n">
        <v>0</v>
      </c>
      <c r="R142" s="2" t="inlineStr"/>
    </row>
    <row r="143" ht="15" customHeight="1">
      <c r="A143" t="inlineStr">
        <is>
          <t>A 10569-2021</t>
        </is>
      </c>
      <c r="B143" s="1" t="n">
        <v>44258</v>
      </c>
      <c r="C143" s="1" t="n">
        <v>45830</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13334-2021</t>
        </is>
      </c>
      <c r="B144" s="1" t="n">
        <v>44272</v>
      </c>
      <c r="C144" s="1" t="n">
        <v>45830</v>
      </c>
      <c r="D144" t="inlineStr">
        <is>
          <t>VÄSTERBOTTENS LÄN</t>
        </is>
      </c>
      <c r="E144" t="inlineStr">
        <is>
          <t>SORSELE</t>
        </is>
      </c>
      <c r="G144" t="n">
        <v>19.4</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45830</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16060-2021</t>
        </is>
      </c>
      <c r="B146" s="1" t="n">
        <v>44287</v>
      </c>
      <c r="C146" s="1" t="n">
        <v>45830</v>
      </c>
      <c r="D146" t="inlineStr">
        <is>
          <t>VÄSTERBOTTENS LÄN</t>
        </is>
      </c>
      <c r="E146" t="inlineStr">
        <is>
          <t>SORSELE</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16063-2021</t>
        </is>
      </c>
      <c r="B147" s="1" t="n">
        <v>44287</v>
      </c>
      <c r="C147" s="1" t="n">
        <v>45830</v>
      </c>
      <c r="D147" t="inlineStr">
        <is>
          <t>VÄSTERBOTTENS LÄN</t>
        </is>
      </c>
      <c r="E147" t="inlineStr">
        <is>
          <t>SORSELE</t>
        </is>
      </c>
      <c r="F147" t="inlineStr">
        <is>
          <t>Övriga Aktiebolag</t>
        </is>
      </c>
      <c r="G147" t="n">
        <v>17.5</v>
      </c>
      <c r="H147" t="n">
        <v>0</v>
      </c>
      <c r="I147" t="n">
        <v>0</v>
      </c>
      <c r="J147" t="n">
        <v>0</v>
      </c>
      <c r="K147" t="n">
        <v>0</v>
      </c>
      <c r="L147" t="n">
        <v>0</v>
      </c>
      <c r="M147" t="n">
        <v>0</v>
      </c>
      <c r="N147" t="n">
        <v>0</v>
      </c>
      <c r="O147" t="n">
        <v>0</v>
      </c>
      <c r="P147" t="n">
        <v>0</v>
      </c>
      <c r="Q147" t="n">
        <v>0</v>
      </c>
      <c r="R147" s="2" t="inlineStr"/>
    </row>
    <row r="148" ht="15" customHeight="1">
      <c r="A148" t="inlineStr">
        <is>
          <t>A 16893-2021</t>
        </is>
      </c>
      <c r="B148" s="1" t="n">
        <v>44295</v>
      </c>
      <c r="C148" s="1" t="n">
        <v>45830</v>
      </c>
      <c r="D148" t="inlineStr">
        <is>
          <t>VÄSTERBOTTENS LÄN</t>
        </is>
      </c>
      <c r="E148" t="inlineStr">
        <is>
          <t>SORSELE</t>
        </is>
      </c>
      <c r="G148" t="n">
        <v>14.7</v>
      </c>
      <c r="H148" t="n">
        <v>0</v>
      </c>
      <c r="I148" t="n">
        <v>0</v>
      </c>
      <c r="J148" t="n">
        <v>0</v>
      </c>
      <c r="K148" t="n">
        <v>0</v>
      </c>
      <c r="L148" t="n">
        <v>0</v>
      </c>
      <c r="M148" t="n">
        <v>0</v>
      </c>
      <c r="N148" t="n">
        <v>0</v>
      </c>
      <c r="O148" t="n">
        <v>0</v>
      </c>
      <c r="P148" t="n">
        <v>0</v>
      </c>
      <c r="Q148" t="n">
        <v>0</v>
      </c>
      <c r="R148" s="2" t="inlineStr"/>
    </row>
    <row r="149" ht="15" customHeight="1">
      <c r="A149" t="inlineStr">
        <is>
          <t>A 16911-2021</t>
        </is>
      </c>
      <c r="B149" s="1" t="n">
        <v>44295</v>
      </c>
      <c r="C149" s="1" t="n">
        <v>45830</v>
      </c>
      <c r="D149" t="inlineStr">
        <is>
          <t>VÄSTERBOTTENS LÄN</t>
        </is>
      </c>
      <c r="E149" t="inlineStr">
        <is>
          <t>SORSELE</t>
        </is>
      </c>
      <c r="G149" t="n">
        <v>21</v>
      </c>
      <c r="H149" t="n">
        <v>0</v>
      </c>
      <c r="I149" t="n">
        <v>0</v>
      </c>
      <c r="J149" t="n">
        <v>0</v>
      </c>
      <c r="K149" t="n">
        <v>0</v>
      </c>
      <c r="L149" t="n">
        <v>0</v>
      </c>
      <c r="M149" t="n">
        <v>0</v>
      </c>
      <c r="N149" t="n">
        <v>0</v>
      </c>
      <c r="O149" t="n">
        <v>0</v>
      </c>
      <c r="P149" t="n">
        <v>0</v>
      </c>
      <c r="Q149" t="n">
        <v>0</v>
      </c>
      <c r="R149" s="2" t="inlineStr"/>
    </row>
    <row r="150" ht="15" customHeight="1">
      <c r="A150" t="inlineStr">
        <is>
          <t>A 16946-2021</t>
        </is>
      </c>
      <c r="B150" s="1" t="n">
        <v>44295</v>
      </c>
      <c r="C150" s="1" t="n">
        <v>45830</v>
      </c>
      <c r="D150" t="inlineStr">
        <is>
          <t>VÄSTERBOTTENS LÄN</t>
        </is>
      </c>
      <c r="E150" t="inlineStr">
        <is>
          <t>SORSELE</t>
        </is>
      </c>
      <c r="F150" t="inlineStr">
        <is>
          <t>Övriga statliga verk och myndigheter</t>
        </is>
      </c>
      <c r="G150" t="n">
        <v>20.4</v>
      </c>
      <c r="H150" t="n">
        <v>0</v>
      </c>
      <c r="I150" t="n">
        <v>0</v>
      </c>
      <c r="J150" t="n">
        <v>0</v>
      </c>
      <c r="K150" t="n">
        <v>0</v>
      </c>
      <c r="L150" t="n">
        <v>0</v>
      </c>
      <c r="M150" t="n">
        <v>0</v>
      </c>
      <c r="N150" t="n">
        <v>0</v>
      </c>
      <c r="O150" t="n">
        <v>0</v>
      </c>
      <c r="P150" t="n">
        <v>0</v>
      </c>
      <c r="Q150" t="n">
        <v>0</v>
      </c>
      <c r="R150" s="2" t="inlineStr"/>
    </row>
    <row r="151" ht="15" customHeight="1">
      <c r="A151" t="inlineStr">
        <is>
          <t>A 17441-2021</t>
        </is>
      </c>
      <c r="B151" s="1" t="n">
        <v>44298</v>
      </c>
      <c r="C151" s="1" t="n">
        <v>45830</v>
      </c>
      <c r="D151" t="inlineStr">
        <is>
          <t>VÄSTERBOTTENS LÄN</t>
        </is>
      </c>
      <c r="E151" t="inlineStr">
        <is>
          <t>SORSELE</t>
        </is>
      </c>
      <c r="G151" t="n">
        <v>129.6</v>
      </c>
      <c r="H151" t="n">
        <v>0</v>
      </c>
      <c r="I151" t="n">
        <v>0</v>
      </c>
      <c r="J151" t="n">
        <v>0</v>
      </c>
      <c r="K151" t="n">
        <v>0</v>
      </c>
      <c r="L151" t="n">
        <v>0</v>
      </c>
      <c r="M151" t="n">
        <v>0</v>
      </c>
      <c r="N151" t="n">
        <v>0</v>
      </c>
      <c r="O151" t="n">
        <v>0</v>
      </c>
      <c r="P151" t="n">
        <v>0</v>
      </c>
      <c r="Q151" t="n">
        <v>0</v>
      </c>
      <c r="R151" s="2" t="inlineStr"/>
    </row>
    <row r="152" ht="15" customHeight="1">
      <c r="A152" t="inlineStr">
        <is>
          <t>A 17443-2021</t>
        </is>
      </c>
      <c r="B152" s="1" t="n">
        <v>44298</v>
      </c>
      <c r="C152" s="1" t="n">
        <v>45830</v>
      </c>
      <c r="D152" t="inlineStr">
        <is>
          <t>VÄSTERBOTTENS LÄN</t>
        </is>
      </c>
      <c r="E152" t="inlineStr">
        <is>
          <t>SORSELE</t>
        </is>
      </c>
      <c r="G152" t="n">
        <v>158</v>
      </c>
      <c r="H152" t="n">
        <v>0</v>
      </c>
      <c r="I152" t="n">
        <v>0</v>
      </c>
      <c r="J152" t="n">
        <v>0</v>
      </c>
      <c r="K152" t="n">
        <v>0</v>
      </c>
      <c r="L152" t="n">
        <v>0</v>
      </c>
      <c r="M152" t="n">
        <v>0</v>
      </c>
      <c r="N152" t="n">
        <v>0</v>
      </c>
      <c r="O152" t="n">
        <v>0</v>
      </c>
      <c r="P152" t="n">
        <v>0</v>
      </c>
      <c r="Q152" t="n">
        <v>0</v>
      </c>
      <c r="R152" s="2" t="inlineStr"/>
    </row>
    <row r="153" ht="15" customHeight="1">
      <c r="A153" t="inlineStr">
        <is>
          <t>A 17442-2021</t>
        </is>
      </c>
      <c r="B153" s="1" t="n">
        <v>44298</v>
      </c>
      <c r="C153" s="1" t="n">
        <v>45830</v>
      </c>
      <c r="D153" t="inlineStr">
        <is>
          <t>VÄSTERBOTTENS LÄN</t>
        </is>
      </c>
      <c r="E153" t="inlineStr">
        <is>
          <t>SORSELE</t>
        </is>
      </c>
      <c r="G153" t="n">
        <v>86.09999999999999</v>
      </c>
      <c r="H153" t="n">
        <v>0</v>
      </c>
      <c r="I153" t="n">
        <v>0</v>
      </c>
      <c r="J153" t="n">
        <v>0</v>
      </c>
      <c r="K153" t="n">
        <v>0</v>
      </c>
      <c r="L153" t="n">
        <v>0</v>
      </c>
      <c r="M153" t="n">
        <v>0</v>
      </c>
      <c r="N153" t="n">
        <v>0</v>
      </c>
      <c r="O153" t="n">
        <v>0</v>
      </c>
      <c r="P153" t="n">
        <v>0</v>
      </c>
      <c r="Q153" t="n">
        <v>0</v>
      </c>
      <c r="R153" s="2" t="inlineStr"/>
    </row>
    <row r="154" ht="15" customHeight="1">
      <c r="A154" t="inlineStr">
        <is>
          <t>A 20823-2021</t>
        </is>
      </c>
      <c r="B154" s="1" t="n">
        <v>44317</v>
      </c>
      <c r="C154" s="1" t="n">
        <v>45830</v>
      </c>
      <c r="D154" t="inlineStr">
        <is>
          <t>VÄSTERBOTTENS LÄN</t>
        </is>
      </c>
      <c r="E154" t="inlineStr">
        <is>
          <t>SORSELE</t>
        </is>
      </c>
      <c r="G154" t="n">
        <v>1.1</v>
      </c>
      <c r="H154" t="n">
        <v>0</v>
      </c>
      <c r="I154" t="n">
        <v>0</v>
      </c>
      <c r="J154" t="n">
        <v>0</v>
      </c>
      <c r="K154" t="n">
        <v>0</v>
      </c>
      <c r="L154" t="n">
        <v>0</v>
      </c>
      <c r="M154" t="n">
        <v>0</v>
      </c>
      <c r="N154" t="n">
        <v>0</v>
      </c>
      <c r="O154" t="n">
        <v>0</v>
      </c>
      <c r="P154" t="n">
        <v>0</v>
      </c>
      <c r="Q154" t="n">
        <v>0</v>
      </c>
      <c r="R154" s="2" t="inlineStr"/>
    </row>
    <row r="155" ht="15" customHeight="1">
      <c r="A155" t="inlineStr">
        <is>
          <t>A 20824-2021</t>
        </is>
      </c>
      <c r="B155" s="1" t="n">
        <v>44317</v>
      </c>
      <c r="C155" s="1" t="n">
        <v>45830</v>
      </c>
      <c r="D155" t="inlineStr">
        <is>
          <t>VÄSTERBOTTENS LÄN</t>
        </is>
      </c>
      <c r="E155" t="inlineStr">
        <is>
          <t>SORSELE</t>
        </is>
      </c>
      <c r="G155" t="n">
        <v>0.3</v>
      </c>
      <c r="H155" t="n">
        <v>0</v>
      </c>
      <c r="I155" t="n">
        <v>0</v>
      </c>
      <c r="J155" t="n">
        <v>0</v>
      </c>
      <c r="K155" t="n">
        <v>0</v>
      </c>
      <c r="L155" t="n">
        <v>0</v>
      </c>
      <c r="M155" t="n">
        <v>0</v>
      </c>
      <c r="N155" t="n">
        <v>0</v>
      </c>
      <c r="O155" t="n">
        <v>0</v>
      </c>
      <c r="P155" t="n">
        <v>0</v>
      </c>
      <c r="Q155" t="n">
        <v>0</v>
      </c>
      <c r="R155" s="2" t="inlineStr"/>
    </row>
    <row r="156" ht="15" customHeight="1">
      <c r="A156" t="inlineStr">
        <is>
          <t>A 22672-2021</t>
        </is>
      </c>
      <c r="B156" s="1" t="n">
        <v>44322</v>
      </c>
      <c r="C156" s="1" t="n">
        <v>45830</v>
      </c>
      <c r="D156" t="inlineStr">
        <is>
          <t>VÄSTERBOTTENS LÄN</t>
        </is>
      </c>
      <c r="E156" t="inlineStr">
        <is>
          <t>SORSELE</t>
        </is>
      </c>
      <c r="F156" t="inlineStr">
        <is>
          <t>Allmännings- och besparingsskogar</t>
        </is>
      </c>
      <c r="G156" t="n">
        <v>74</v>
      </c>
      <c r="H156" t="n">
        <v>0</v>
      </c>
      <c r="I156" t="n">
        <v>0</v>
      </c>
      <c r="J156" t="n">
        <v>0</v>
      </c>
      <c r="K156" t="n">
        <v>0</v>
      </c>
      <c r="L156" t="n">
        <v>0</v>
      </c>
      <c r="M156" t="n">
        <v>0</v>
      </c>
      <c r="N156" t="n">
        <v>0</v>
      </c>
      <c r="O156" t="n">
        <v>0</v>
      </c>
      <c r="P156" t="n">
        <v>0</v>
      </c>
      <c r="Q156" t="n">
        <v>0</v>
      </c>
      <c r="R156" s="2" t="inlineStr"/>
    </row>
    <row r="157" ht="15" customHeight="1">
      <c r="A157" t="inlineStr">
        <is>
          <t>A 22377-2021</t>
        </is>
      </c>
      <c r="B157" s="1" t="n">
        <v>44326</v>
      </c>
      <c r="C157" s="1" t="n">
        <v>45830</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22425-2021</t>
        </is>
      </c>
      <c r="B158" s="1" t="n">
        <v>44326</v>
      </c>
      <c r="C158" s="1" t="n">
        <v>45830</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22430-2021</t>
        </is>
      </c>
      <c r="B159" s="1" t="n">
        <v>44326</v>
      </c>
      <c r="C159" s="1" t="n">
        <v>45830</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22534-2021</t>
        </is>
      </c>
      <c r="B160" s="1" t="n">
        <v>44326</v>
      </c>
      <c r="C160" s="1" t="n">
        <v>45830</v>
      </c>
      <c r="D160" t="inlineStr">
        <is>
          <t>VÄSTERBOTTENS LÄN</t>
        </is>
      </c>
      <c r="E160" t="inlineStr">
        <is>
          <t>SORSELE</t>
        </is>
      </c>
      <c r="G160" t="n">
        <v>0.6</v>
      </c>
      <c r="H160" t="n">
        <v>0</v>
      </c>
      <c r="I160" t="n">
        <v>0</v>
      </c>
      <c r="J160" t="n">
        <v>0</v>
      </c>
      <c r="K160" t="n">
        <v>0</v>
      </c>
      <c r="L160" t="n">
        <v>0</v>
      </c>
      <c r="M160" t="n">
        <v>0</v>
      </c>
      <c r="N160" t="n">
        <v>0</v>
      </c>
      <c r="O160" t="n">
        <v>0</v>
      </c>
      <c r="P160" t="n">
        <v>0</v>
      </c>
      <c r="Q160" t="n">
        <v>0</v>
      </c>
      <c r="R160" s="2" t="inlineStr"/>
    </row>
    <row r="161" ht="15" customHeight="1">
      <c r="A161" t="inlineStr">
        <is>
          <t>A 23135-2021</t>
        </is>
      </c>
      <c r="B161" s="1" t="n">
        <v>44330</v>
      </c>
      <c r="C161" s="1" t="n">
        <v>45830</v>
      </c>
      <c r="D161" t="inlineStr">
        <is>
          <t>VÄSTERBOTTENS LÄN</t>
        </is>
      </c>
      <c r="E161" t="inlineStr">
        <is>
          <t>SORSELE</t>
        </is>
      </c>
      <c r="F161" t="inlineStr">
        <is>
          <t>SCA</t>
        </is>
      </c>
      <c r="G161" t="n">
        <v>10.5</v>
      </c>
      <c r="H161" t="n">
        <v>0</v>
      </c>
      <c r="I161" t="n">
        <v>0</v>
      </c>
      <c r="J161" t="n">
        <v>0</v>
      </c>
      <c r="K161" t="n">
        <v>0</v>
      </c>
      <c r="L161" t="n">
        <v>0</v>
      </c>
      <c r="M161" t="n">
        <v>0</v>
      </c>
      <c r="N161" t="n">
        <v>0</v>
      </c>
      <c r="O161" t="n">
        <v>0</v>
      </c>
      <c r="P161" t="n">
        <v>0</v>
      </c>
      <c r="Q161" t="n">
        <v>0</v>
      </c>
      <c r="R161" s="2" t="inlineStr"/>
    </row>
    <row r="162" ht="15" customHeight="1">
      <c r="A162" t="inlineStr">
        <is>
          <t>A 27273-2021</t>
        </is>
      </c>
      <c r="B162" s="1" t="n">
        <v>44350</v>
      </c>
      <c r="C162" s="1" t="n">
        <v>45830</v>
      </c>
      <c r="D162" t="inlineStr">
        <is>
          <t>VÄSTERBOTTENS LÄN</t>
        </is>
      </c>
      <c r="E162" t="inlineStr">
        <is>
          <t>SORSELE</t>
        </is>
      </c>
      <c r="G162" t="n">
        <v>4.8</v>
      </c>
      <c r="H162" t="n">
        <v>0</v>
      </c>
      <c r="I162" t="n">
        <v>0</v>
      </c>
      <c r="J162" t="n">
        <v>0</v>
      </c>
      <c r="K162" t="n">
        <v>0</v>
      </c>
      <c r="L162" t="n">
        <v>0</v>
      </c>
      <c r="M162" t="n">
        <v>0</v>
      </c>
      <c r="N162" t="n">
        <v>0</v>
      </c>
      <c r="O162" t="n">
        <v>0</v>
      </c>
      <c r="P162" t="n">
        <v>0</v>
      </c>
      <c r="Q162" t="n">
        <v>0</v>
      </c>
      <c r="R162" s="2" t="inlineStr"/>
    </row>
    <row r="163" ht="15" customHeight="1">
      <c r="A163" t="inlineStr">
        <is>
          <t>A 27284-2021</t>
        </is>
      </c>
      <c r="B163" s="1" t="n">
        <v>44350</v>
      </c>
      <c r="C163" s="1" t="n">
        <v>45830</v>
      </c>
      <c r="D163" t="inlineStr">
        <is>
          <t>VÄSTERBOTTENS LÄN</t>
        </is>
      </c>
      <c r="E163" t="inlineStr">
        <is>
          <t>SORSELE</t>
        </is>
      </c>
      <c r="G163" t="n">
        <v>7</v>
      </c>
      <c r="H163" t="n">
        <v>0</v>
      </c>
      <c r="I163" t="n">
        <v>0</v>
      </c>
      <c r="J163" t="n">
        <v>0</v>
      </c>
      <c r="K163" t="n">
        <v>0</v>
      </c>
      <c r="L163" t="n">
        <v>0</v>
      </c>
      <c r="M163" t="n">
        <v>0</v>
      </c>
      <c r="N163" t="n">
        <v>0</v>
      </c>
      <c r="O163" t="n">
        <v>0</v>
      </c>
      <c r="P163" t="n">
        <v>0</v>
      </c>
      <c r="Q163" t="n">
        <v>0</v>
      </c>
      <c r="R163" s="2" t="inlineStr"/>
    </row>
    <row r="164" ht="15" customHeight="1">
      <c r="A164" t="inlineStr">
        <is>
          <t>A 28094-2021</t>
        </is>
      </c>
      <c r="B164" s="1" t="n">
        <v>44355</v>
      </c>
      <c r="C164" s="1" t="n">
        <v>45830</v>
      </c>
      <c r="D164" t="inlineStr">
        <is>
          <t>VÄSTERBOTTENS LÄN</t>
        </is>
      </c>
      <c r="E164" t="inlineStr">
        <is>
          <t>SORSELE</t>
        </is>
      </c>
      <c r="G164" t="n">
        <v>3.9</v>
      </c>
      <c r="H164" t="n">
        <v>0</v>
      </c>
      <c r="I164" t="n">
        <v>0</v>
      </c>
      <c r="J164" t="n">
        <v>0</v>
      </c>
      <c r="K164" t="n">
        <v>0</v>
      </c>
      <c r="L164" t="n">
        <v>0</v>
      </c>
      <c r="M164" t="n">
        <v>0</v>
      </c>
      <c r="N164" t="n">
        <v>0</v>
      </c>
      <c r="O164" t="n">
        <v>0</v>
      </c>
      <c r="P164" t="n">
        <v>0</v>
      </c>
      <c r="Q164" t="n">
        <v>0</v>
      </c>
      <c r="R164" s="2" t="inlineStr"/>
    </row>
    <row r="165" ht="15" customHeight="1">
      <c r="A165" t="inlineStr">
        <is>
          <t>A 28097-2021</t>
        </is>
      </c>
      <c r="B165" s="1" t="n">
        <v>44355</v>
      </c>
      <c r="C165" s="1" t="n">
        <v>45830</v>
      </c>
      <c r="D165" t="inlineStr">
        <is>
          <t>VÄSTERBOTTENS LÄN</t>
        </is>
      </c>
      <c r="E165" t="inlineStr">
        <is>
          <t>SORSELE</t>
        </is>
      </c>
      <c r="G165" t="n">
        <v>1.1</v>
      </c>
      <c r="H165" t="n">
        <v>0</v>
      </c>
      <c r="I165" t="n">
        <v>0</v>
      </c>
      <c r="J165" t="n">
        <v>0</v>
      </c>
      <c r="K165" t="n">
        <v>0</v>
      </c>
      <c r="L165" t="n">
        <v>0</v>
      </c>
      <c r="M165" t="n">
        <v>0</v>
      </c>
      <c r="N165" t="n">
        <v>0</v>
      </c>
      <c r="O165" t="n">
        <v>0</v>
      </c>
      <c r="P165" t="n">
        <v>0</v>
      </c>
      <c r="Q165" t="n">
        <v>0</v>
      </c>
      <c r="R165" s="2" t="inlineStr"/>
    </row>
    <row r="166" ht="15" customHeight="1">
      <c r="A166" t="inlineStr">
        <is>
          <t>A 30413-2021</t>
        </is>
      </c>
      <c r="B166" s="1" t="n">
        <v>44364</v>
      </c>
      <c r="C166" s="1" t="n">
        <v>45830</v>
      </c>
      <c r="D166" t="inlineStr">
        <is>
          <t>VÄSTERBOTTENS LÄN</t>
        </is>
      </c>
      <c r="E166" t="inlineStr">
        <is>
          <t>SORSELE</t>
        </is>
      </c>
      <c r="G166" t="n">
        <v>8</v>
      </c>
      <c r="H166" t="n">
        <v>0</v>
      </c>
      <c r="I166" t="n">
        <v>0</v>
      </c>
      <c r="J166" t="n">
        <v>0</v>
      </c>
      <c r="K166" t="n">
        <v>0</v>
      </c>
      <c r="L166" t="n">
        <v>0</v>
      </c>
      <c r="M166" t="n">
        <v>0</v>
      </c>
      <c r="N166" t="n">
        <v>0</v>
      </c>
      <c r="O166" t="n">
        <v>0</v>
      </c>
      <c r="P166" t="n">
        <v>0</v>
      </c>
      <c r="Q166" t="n">
        <v>0</v>
      </c>
      <c r="R166" s="2" t="inlineStr"/>
    </row>
    <row r="167" ht="15" customHeight="1">
      <c r="A167" t="inlineStr">
        <is>
          <t>A 30626-2021</t>
        </is>
      </c>
      <c r="B167" s="1" t="n">
        <v>44364</v>
      </c>
      <c r="C167" s="1" t="n">
        <v>45830</v>
      </c>
      <c r="D167" t="inlineStr">
        <is>
          <t>VÄSTERBOTTENS LÄN</t>
        </is>
      </c>
      <c r="E167" t="inlineStr">
        <is>
          <t>SORSELE</t>
        </is>
      </c>
      <c r="G167" t="n">
        <v>6</v>
      </c>
      <c r="H167" t="n">
        <v>0</v>
      </c>
      <c r="I167" t="n">
        <v>0</v>
      </c>
      <c r="J167" t="n">
        <v>0</v>
      </c>
      <c r="K167" t="n">
        <v>0</v>
      </c>
      <c r="L167" t="n">
        <v>0</v>
      </c>
      <c r="M167" t="n">
        <v>0</v>
      </c>
      <c r="N167" t="n">
        <v>0</v>
      </c>
      <c r="O167" t="n">
        <v>0</v>
      </c>
      <c r="P167" t="n">
        <v>0</v>
      </c>
      <c r="Q167" t="n">
        <v>0</v>
      </c>
      <c r="R167" s="2" t="inlineStr"/>
    </row>
    <row r="168" ht="15" customHeight="1">
      <c r="A168" t="inlineStr">
        <is>
          <t>A 33234-2021</t>
        </is>
      </c>
      <c r="B168" s="1" t="n">
        <v>44376</v>
      </c>
      <c r="C168" s="1" t="n">
        <v>45830</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33395-2021</t>
        </is>
      </c>
      <c r="B169" s="1" t="n">
        <v>44377</v>
      </c>
      <c r="C169" s="1" t="n">
        <v>45830</v>
      </c>
      <c r="D169" t="inlineStr">
        <is>
          <t>VÄSTERBOTTENS LÄN</t>
        </is>
      </c>
      <c r="E169" t="inlineStr">
        <is>
          <t>SORSELE</t>
        </is>
      </c>
      <c r="G169" t="n">
        <v>20</v>
      </c>
      <c r="H169" t="n">
        <v>0</v>
      </c>
      <c r="I169" t="n">
        <v>0</v>
      </c>
      <c r="J169" t="n">
        <v>0</v>
      </c>
      <c r="K169" t="n">
        <v>0</v>
      </c>
      <c r="L169" t="n">
        <v>0</v>
      </c>
      <c r="M169" t="n">
        <v>0</v>
      </c>
      <c r="N169" t="n">
        <v>0</v>
      </c>
      <c r="O169" t="n">
        <v>0</v>
      </c>
      <c r="P169" t="n">
        <v>0</v>
      </c>
      <c r="Q169" t="n">
        <v>0</v>
      </c>
      <c r="R169" s="2" t="inlineStr"/>
    </row>
    <row r="170" ht="15" customHeight="1">
      <c r="A170" t="inlineStr">
        <is>
          <t>A 38814-2021</t>
        </is>
      </c>
      <c r="B170" s="1" t="n">
        <v>44411</v>
      </c>
      <c r="C170" s="1" t="n">
        <v>45830</v>
      </c>
      <c r="D170" t="inlineStr">
        <is>
          <t>VÄSTERBOTTENS LÄN</t>
        </is>
      </c>
      <c r="E170" t="inlineStr">
        <is>
          <t>SORSELE</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45830</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45830</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45830</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45830</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45830</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45830</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45830</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45830</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45830</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45830</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45830</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45830</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45830</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45830</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45830</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45830</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45830</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45830</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45830</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45830</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45830</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45830</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45830</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45830</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45830</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45830</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45830</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45830</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45830</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45830</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45830</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45830</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45830</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45830</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45830</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45830</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45830</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45830</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45830</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45830</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45830</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45830</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45830</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45830</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45830</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45830</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45830</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45830</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45830</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45830</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45830</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45830</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45830</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45830</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45830</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45830</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45830</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45830</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45830</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45830</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45830</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45830</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45830</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45830</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45830</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45830</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45830</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45830</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45830</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45830</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45830</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45830</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45830</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45830</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45830</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45830</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45830</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45830</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45830</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45830</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45830</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45830</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45830</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45830</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45830</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45830</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45830</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45830</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45830</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45830</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45830</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45830</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45830</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45830</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45830</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45830</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45830</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45830</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45830</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45830</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45830</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45830</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45830</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45830</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45830</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45830</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45830</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45830</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45830</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45830</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45830</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45830</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45830</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45830</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45830</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45830</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45830</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45830</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45830</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45830</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45830</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45830</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45830</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45830</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45830</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45830</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45830</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45830</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45830</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45830</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45830</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45830</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45830</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45830</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45830</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45830</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45830</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45830</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45830</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45830</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45830</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45830</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45830</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45830</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45830</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45830</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45830</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45830</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45830</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45830</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45830</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45830</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45830</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45830</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45830</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45830</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45830</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45830</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45830</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45830</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45830</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45830</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45830</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45830</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45830</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45830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45830</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45830</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45830</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45830</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45830</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45830</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45830</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45830</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45830</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45830</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45830</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45830</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45830</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45830</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45830</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45830</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45830</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45830</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45830</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45830</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45830</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45830</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45830</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45830</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45830</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45830</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45830</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45830</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45830</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45830</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45830</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45830</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45830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45830</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45830</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45830</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45830</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45830</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45830</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45830</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45830</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45830</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45830</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45830</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45830</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45830</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45830</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45830</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45830</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45830</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45830</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45830</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45830</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45830</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45830</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45830</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45830</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45830</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45830</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45830</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45830</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45830</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45830</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45830</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45830</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45830</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45830</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45830</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45830</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45830</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45830</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45830</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45830</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45830</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45830</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45830</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45830</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45830</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45830</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45830</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45830</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45830</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45830</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45830</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45830</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45830</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45830</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45830</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45830</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45830</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45830</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45830</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45830</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45830</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45830</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45830</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45830</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45830</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45830</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45830</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45830</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45830</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45830</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45830</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45830</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45830</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45830</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45830</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45830</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45830</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45830</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45830</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45830</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45830</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45830</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45830</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45830</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45830</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45830</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45830</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45830</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45830</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45830</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45830</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45830</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45830</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45830</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45830</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45830</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45830</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45830</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45830</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45830</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45830</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45830</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45830</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45830</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45830</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45830</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45830</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45830</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45830</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45830</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45830</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45830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45830</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45830</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45830</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45830</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45830</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45830</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45830</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45830</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45830</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45830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45830</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45830</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45830</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45830</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45830</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45830</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45830</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45830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45830</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45830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45830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45830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45830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45830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45830</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45830</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45830</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45830</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45830</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45830</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45830</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45830</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45830</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45830</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45830</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45830</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45830</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45830</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45830</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45830</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45830</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45830</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45830</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45830</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45830</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45830</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45830</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45830</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45830</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45830</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45830</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45830</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45830</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45830</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45830</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45830</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45830</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45830</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45830</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45830</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45830</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45830</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45830</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45830</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45830</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45830</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45830</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45830</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45830</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45830</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45830</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45830</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45830</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45830</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45830</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45830</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45830</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45830</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45830</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45830</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26027-2025</t>
        </is>
      </c>
      <c r="B562" s="1" t="n">
        <v>45804</v>
      </c>
      <c r="C562" s="1" t="n">
        <v>45830</v>
      </c>
      <c r="D562" t="inlineStr">
        <is>
          <t>VÄSTERBOTTENS LÄN</t>
        </is>
      </c>
      <c r="E562" t="inlineStr">
        <is>
          <t>SORSELE</t>
        </is>
      </c>
      <c r="G562" t="n">
        <v>3.8</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45830</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26037-2025</t>
        </is>
      </c>
      <c r="B564" s="1" t="n">
        <v>45804</v>
      </c>
      <c r="C564" s="1" t="n">
        <v>45830</v>
      </c>
      <c r="D564" t="inlineStr">
        <is>
          <t>VÄSTERBOTTENS LÄN</t>
        </is>
      </c>
      <c r="E564" t="inlineStr">
        <is>
          <t>SORSELE</t>
        </is>
      </c>
      <c r="G564" t="n">
        <v>0.6</v>
      </c>
      <c r="H564" t="n">
        <v>0</v>
      </c>
      <c r="I564" t="n">
        <v>0</v>
      </c>
      <c r="J564" t="n">
        <v>0</v>
      </c>
      <c r="K564" t="n">
        <v>0</v>
      </c>
      <c r="L564" t="n">
        <v>0</v>
      </c>
      <c r="M564" t="n">
        <v>0</v>
      </c>
      <c r="N564" t="n">
        <v>0</v>
      </c>
      <c r="O564" t="n">
        <v>0</v>
      </c>
      <c r="P564" t="n">
        <v>0</v>
      </c>
      <c r="Q564" t="n">
        <v>0</v>
      </c>
      <c r="R564" s="2" t="inlineStr"/>
    </row>
    <row r="565" ht="15" customHeight="1">
      <c r="A565" t="inlineStr">
        <is>
          <t>A 26038-2025</t>
        </is>
      </c>
      <c r="B565" s="1" t="n">
        <v>45804</v>
      </c>
      <c r="C565" s="1" t="n">
        <v>45830</v>
      </c>
      <c r="D565" t="inlineStr">
        <is>
          <t>VÄSTERBOTTENS LÄN</t>
        </is>
      </c>
      <c r="E565" t="inlineStr">
        <is>
          <t>SORSELE</t>
        </is>
      </c>
      <c r="G565" t="n">
        <v>1.7</v>
      </c>
      <c r="H565" t="n">
        <v>0</v>
      </c>
      <c r="I565" t="n">
        <v>0</v>
      </c>
      <c r="J565" t="n">
        <v>0</v>
      </c>
      <c r="K565" t="n">
        <v>0</v>
      </c>
      <c r="L565" t="n">
        <v>0</v>
      </c>
      <c r="M565" t="n">
        <v>0</v>
      </c>
      <c r="N565" t="n">
        <v>0</v>
      </c>
      <c r="O565" t="n">
        <v>0</v>
      </c>
      <c r="P565" t="n">
        <v>0</v>
      </c>
      <c r="Q565" t="n">
        <v>0</v>
      </c>
      <c r="R565" s="2" t="inlineStr"/>
    </row>
    <row r="566" ht="15" customHeight="1">
      <c r="A566" t="inlineStr">
        <is>
          <t>A 26034-2025</t>
        </is>
      </c>
      <c r="B566" s="1" t="n">
        <v>45804</v>
      </c>
      <c r="C566" s="1" t="n">
        <v>45830</v>
      </c>
      <c r="D566" t="inlineStr">
        <is>
          <t>VÄSTERBOTTENS LÄN</t>
        </is>
      </c>
      <c r="E566" t="inlineStr">
        <is>
          <t>SORSELE</t>
        </is>
      </c>
      <c r="G566" t="n">
        <v>4.1</v>
      </c>
      <c r="H566" t="n">
        <v>0</v>
      </c>
      <c r="I566" t="n">
        <v>0</v>
      </c>
      <c r="J566" t="n">
        <v>0</v>
      </c>
      <c r="K566" t="n">
        <v>0</v>
      </c>
      <c r="L566" t="n">
        <v>0</v>
      </c>
      <c r="M566" t="n">
        <v>0</v>
      </c>
      <c r="N566" t="n">
        <v>0</v>
      </c>
      <c r="O566" t="n">
        <v>0</v>
      </c>
      <c r="P566" t="n">
        <v>0</v>
      </c>
      <c r="Q566" t="n">
        <v>0</v>
      </c>
      <c r="R566" s="2" t="inlineStr"/>
    </row>
    <row r="567" ht="15" customHeight="1">
      <c r="A567" t="inlineStr">
        <is>
          <t>A 26036-2025</t>
        </is>
      </c>
      <c r="B567" s="1" t="n">
        <v>45804</v>
      </c>
      <c r="C567" s="1" t="n">
        <v>45830</v>
      </c>
      <c r="D567" t="inlineStr">
        <is>
          <t>VÄSTERBOTTENS LÄN</t>
        </is>
      </c>
      <c r="E567" t="inlineStr">
        <is>
          <t>SORSELE</t>
        </is>
      </c>
      <c r="G567" t="n">
        <v>1.3</v>
      </c>
      <c r="H567" t="n">
        <v>0</v>
      </c>
      <c r="I567" t="n">
        <v>0</v>
      </c>
      <c r="J567" t="n">
        <v>0</v>
      </c>
      <c r="K567" t="n">
        <v>0</v>
      </c>
      <c r="L567" t="n">
        <v>0</v>
      </c>
      <c r="M567" t="n">
        <v>0</v>
      </c>
      <c r="N567" t="n">
        <v>0</v>
      </c>
      <c r="O567" t="n">
        <v>0</v>
      </c>
      <c r="P567" t="n">
        <v>0</v>
      </c>
      <c r="Q567" t="n">
        <v>0</v>
      </c>
      <c r="R567" s="2" t="inlineStr"/>
    </row>
    <row r="568" ht="15" customHeight="1">
      <c r="A568" t="inlineStr">
        <is>
          <t>A 27744-2025</t>
        </is>
      </c>
      <c r="B568" s="1" t="n">
        <v>45815</v>
      </c>
      <c r="C568" s="1" t="n">
        <v>45830</v>
      </c>
      <c r="D568" t="inlineStr">
        <is>
          <t>VÄSTERBOTTENS LÄN</t>
        </is>
      </c>
      <c r="E568" t="inlineStr">
        <is>
          <t>SORSELE</t>
        </is>
      </c>
      <c r="G568" t="n">
        <v>4.5</v>
      </c>
      <c r="H568" t="n">
        <v>0</v>
      </c>
      <c r="I568" t="n">
        <v>0</v>
      </c>
      <c r="J568" t="n">
        <v>0</v>
      </c>
      <c r="K568" t="n">
        <v>0</v>
      </c>
      <c r="L568" t="n">
        <v>0</v>
      </c>
      <c r="M568" t="n">
        <v>0</v>
      </c>
      <c r="N568" t="n">
        <v>0</v>
      </c>
      <c r="O568" t="n">
        <v>0</v>
      </c>
      <c r="P568" t="n">
        <v>0</v>
      </c>
      <c r="Q568" t="n">
        <v>0</v>
      </c>
      <c r="R568" s="2" t="inlineStr"/>
    </row>
    <row r="569" ht="15" customHeight="1">
      <c r="A569" t="inlineStr">
        <is>
          <t>A 27746-2025</t>
        </is>
      </c>
      <c r="B569" s="1" t="n">
        <v>45815</v>
      </c>
      <c r="C569" s="1" t="n">
        <v>45830</v>
      </c>
      <c r="D569" t="inlineStr">
        <is>
          <t>VÄSTERBOTTENS LÄN</t>
        </is>
      </c>
      <c r="E569" t="inlineStr">
        <is>
          <t>SORSELE</t>
        </is>
      </c>
      <c r="G569" t="n">
        <v>4.1</v>
      </c>
      <c r="H569" t="n">
        <v>0</v>
      </c>
      <c r="I569" t="n">
        <v>0</v>
      </c>
      <c r="J569" t="n">
        <v>0</v>
      </c>
      <c r="K569" t="n">
        <v>0</v>
      </c>
      <c r="L569" t="n">
        <v>0</v>
      </c>
      <c r="M569" t="n">
        <v>0</v>
      </c>
      <c r="N569" t="n">
        <v>0</v>
      </c>
      <c r="O569" t="n">
        <v>0</v>
      </c>
      <c r="P569" t="n">
        <v>0</v>
      </c>
      <c r="Q569" t="n">
        <v>0</v>
      </c>
      <c r="R569" s="2" t="inlineStr"/>
    </row>
    <row r="570" ht="15" customHeight="1">
      <c r="A570" t="inlineStr">
        <is>
          <t>A 28023-2025</t>
        </is>
      </c>
      <c r="B570" s="1" t="n">
        <v>45817</v>
      </c>
      <c r="C570" s="1" t="n">
        <v>45830</v>
      </c>
      <c r="D570" t="inlineStr">
        <is>
          <t>VÄSTERBOTTENS LÄN</t>
        </is>
      </c>
      <c r="E570" t="inlineStr">
        <is>
          <t>SORSELE</t>
        </is>
      </c>
      <c r="F570" t="inlineStr">
        <is>
          <t>Övriga statliga verk och myndigheter</t>
        </is>
      </c>
      <c r="G570" t="n">
        <v>0.6</v>
      </c>
      <c r="H570" t="n">
        <v>0</v>
      </c>
      <c r="I570" t="n">
        <v>0</v>
      </c>
      <c r="J570" t="n">
        <v>0</v>
      </c>
      <c r="K570" t="n">
        <v>0</v>
      </c>
      <c r="L570" t="n">
        <v>0</v>
      </c>
      <c r="M570" t="n">
        <v>0</v>
      </c>
      <c r="N570" t="n">
        <v>0</v>
      </c>
      <c r="O570" t="n">
        <v>0</v>
      </c>
      <c r="P570" t="n">
        <v>0</v>
      </c>
      <c r="Q570" t="n">
        <v>0</v>
      </c>
      <c r="R570" s="2" t="inlineStr"/>
    </row>
    <row r="571" ht="15" customHeight="1">
      <c r="A571" t="inlineStr">
        <is>
          <t>A 28186-2025</t>
        </is>
      </c>
      <c r="B571" s="1" t="n">
        <v>45818</v>
      </c>
      <c r="C571" s="1" t="n">
        <v>45830</v>
      </c>
      <c r="D571" t="inlineStr">
        <is>
          <t>VÄSTERBOTTENS LÄN</t>
        </is>
      </c>
      <c r="E571" t="inlineStr">
        <is>
          <t>SORSELE</t>
        </is>
      </c>
      <c r="G571" t="n">
        <v>1.5</v>
      </c>
      <c r="H571" t="n">
        <v>0</v>
      </c>
      <c r="I571" t="n">
        <v>0</v>
      </c>
      <c r="J571" t="n">
        <v>0</v>
      </c>
      <c r="K571" t="n">
        <v>0</v>
      </c>
      <c r="L571" t="n">
        <v>0</v>
      </c>
      <c r="M571" t="n">
        <v>0</v>
      </c>
      <c r="N571" t="n">
        <v>0</v>
      </c>
      <c r="O571" t="n">
        <v>0</v>
      </c>
      <c r="P571" t="n">
        <v>0</v>
      </c>
      <c r="Q571" t="n">
        <v>0</v>
      </c>
      <c r="R571" s="2" t="inlineStr"/>
    </row>
    <row r="572" ht="15" customHeight="1">
      <c r="A572" t="inlineStr">
        <is>
          <t>A 29229-2025</t>
        </is>
      </c>
      <c r="B572" s="1" t="n">
        <v>45822</v>
      </c>
      <c r="C572" s="1" t="n">
        <v>45830</v>
      </c>
      <c r="D572" t="inlineStr">
        <is>
          <t>VÄSTERBOTTENS LÄN</t>
        </is>
      </c>
      <c r="E572" t="inlineStr">
        <is>
          <t>SORSELE</t>
        </is>
      </c>
      <c r="G572" t="n">
        <v>7.8</v>
      </c>
      <c r="H572" t="n">
        <v>0</v>
      </c>
      <c r="I572" t="n">
        <v>0</v>
      </c>
      <c r="J572" t="n">
        <v>0</v>
      </c>
      <c r="K572" t="n">
        <v>0</v>
      </c>
      <c r="L572" t="n">
        <v>0</v>
      </c>
      <c r="M572" t="n">
        <v>0</v>
      </c>
      <c r="N572" t="n">
        <v>0</v>
      </c>
      <c r="O572" t="n">
        <v>0</v>
      </c>
      <c r="P572" t="n">
        <v>0</v>
      </c>
      <c r="Q572" t="n">
        <v>0</v>
      </c>
      <c r="R572" s="2" t="inlineStr"/>
    </row>
    <row r="573">
      <c r="A573" t="inlineStr">
        <is>
          <t>A 29492-2025</t>
        </is>
      </c>
      <c r="B573" s="1" t="n">
        <v>45824</v>
      </c>
      <c r="C573" s="1" t="n">
        <v>45830</v>
      </c>
      <c r="D573" t="inlineStr">
        <is>
          <t>VÄSTERBOTTENS LÄN</t>
        </is>
      </c>
      <c r="E573" t="inlineStr">
        <is>
          <t>SORSELE</t>
        </is>
      </c>
      <c r="G573" t="n">
        <v>9.6</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2025-06-22T18:47:00Z</dcterms:created>
  <dcterms:modified xmlns:dcterms="http://purl.org/dc/terms/" xmlns:xsi="http://www.w3.org/2001/XMLSchema-instance" xsi:type="dcterms:W3CDTF">2025-06-22T18:47:01Z</dcterms:modified>
</cp:coreProperties>
</file>