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46189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46189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50952-2024</t>
        </is>
      </c>
      <c r="B7" s="1" t="n">
        <v>45602</v>
      </c>
      <c r="C7" s="1" t="n">
        <v>46189</v>
      </c>
      <c r="D7" t="inlineStr">
        <is>
          <t>VÄSTERBOTTENS LÄN</t>
        </is>
      </c>
      <c r="E7" t="inlineStr">
        <is>
          <t>SORSELE</t>
        </is>
      </c>
      <c r="F7" t="inlineStr">
        <is>
          <t>Allmännings- och besparingsskogar</t>
        </is>
      </c>
      <c r="G7" t="n">
        <v>93.90000000000001</v>
      </c>
      <c r="H7" t="n">
        <v>2</v>
      </c>
      <c r="I7" t="n">
        <v>0</v>
      </c>
      <c r="J7" t="n">
        <v>14</v>
      </c>
      <c r="K7" t="n">
        <v>3</v>
      </c>
      <c r="L7" t="n">
        <v>0</v>
      </c>
      <c r="M7" t="n">
        <v>0</v>
      </c>
      <c r="N7" t="n">
        <v>0</v>
      </c>
      <c r="O7" t="n">
        <v>17</v>
      </c>
      <c r="P7" t="n">
        <v>3</v>
      </c>
      <c r="Q7" t="n">
        <v>17</v>
      </c>
      <c r="R7" s="2" t="inlineStr">
        <is>
          <t>Knärot
Ostticka
Rynkskinn
Blanksvart spiklav
Brunpudrad nållav
Gammelgransskål
Garnlav
Granticka
Gränsticka
Harticka
Järpe
Knottrig blåslav
Rosenticka
Rödbrun blekspik
Ullticka
Vitgrynig nållav
Vitskaftad svartspik</t>
        </is>
      </c>
      <c r="S7">
        <f>HYPERLINK("https://klasma.github.io/Logging_2422/artfynd/A 50952-2024 artfynd.xlsx", "A 50952-2024")</f>
        <v/>
      </c>
      <c r="T7">
        <f>HYPERLINK("https://klasma.github.io/Logging_2422/kartor/A 50952-2024 karta.png", "A 50952-2024")</f>
        <v/>
      </c>
      <c r="U7">
        <f>HYPERLINK("https://klasma.github.io/Logging_2422/knärot/A 50952-2024 karta knärot.png", "A 50952-2024")</f>
        <v/>
      </c>
      <c r="V7">
        <f>HYPERLINK("https://klasma.github.io/Logging_2422/klagomål/A 50952-2024 FSC-klagomål.docx", "A 50952-2024")</f>
        <v/>
      </c>
      <c r="W7">
        <f>HYPERLINK("https://klasma.github.io/Logging_2422/klagomålsmail/A 50952-2024 FSC-klagomål mail.docx", "A 50952-2024")</f>
        <v/>
      </c>
      <c r="X7">
        <f>HYPERLINK("https://klasma.github.io/Logging_2422/tillsyn/A 50952-2024 tillsynsbegäran.docx", "A 50952-2024")</f>
        <v/>
      </c>
      <c r="Y7">
        <f>HYPERLINK("https://klasma.github.io/Logging_2422/tillsynsmail/A 50952-2024 tillsynsbegäran mail.docx", "A 50952-2024")</f>
        <v/>
      </c>
      <c r="Z7">
        <f>HYPERLINK("https://klasma.github.io/Logging_2422/fåglar/A 50952-2024 prioriterade fågelarter.docx", "A 50952-2024")</f>
        <v/>
      </c>
    </row>
    <row r="8" ht="15" customHeight="1">
      <c r="A8" t="inlineStr">
        <is>
          <t>A 10060-2022</t>
        </is>
      </c>
      <c r="B8" s="1" t="n">
        <v>44621</v>
      </c>
      <c r="C8" s="1" t="n">
        <v>46189</v>
      </c>
      <c r="D8" t="inlineStr">
        <is>
          <t>VÄSTERBOTTENS LÄN</t>
        </is>
      </c>
      <c r="E8" t="inlineStr">
        <is>
          <t>SORSELE</t>
        </is>
      </c>
      <c r="G8" t="n">
        <v>45.3</v>
      </c>
      <c r="H8" t="n">
        <v>3</v>
      </c>
      <c r="I8" t="n">
        <v>4</v>
      </c>
      <c r="J8" t="n">
        <v>10</v>
      </c>
      <c r="K8" t="n">
        <v>1</v>
      </c>
      <c r="L8" t="n">
        <v>0</v>
      </c>
      <c r="M8" t="n">
        <v>0</v>
      </c>
      <c r="N8" t="n">
        <v>0</v>
      </c>
      <c r="O8" t="n">
        <v>11</v>
      </c>
      <c r="P8" t="n">
        <v>1</v>
      </c>
      <c r="Q8" t="n">
        <v>16</v>
      </c>
      <c r="R8" s="2" t="inlineStr">
        <is>
          <t>Gräddporing
Dvärgbägarlav
Gammelgransskål
Garnlav
Granticka
Rödbrun blekspik
Spillkråka
Tretåig hackspett
Violettgrå tagellav
Vitgrynig nållav
Vitplätt
Bårdlav
Norrlandslav
Nästlav
Stuplav
Revlummer</t>
        </is>
      </c>
      <c r="S8">
        <f>HYPERLINK("https://klasma.github.io/Logging_2422/artfynd/A 10060-2022 artfynd.xlsx", "A 10060-2022")</f>
        <v/>
      </c>
      <c r="T8">
        <f>HYPERLINK("https://klasma.github.io/Logging_2422/kartor/A 10060-2022 karta.png", "A 10060-2022")</f>
        <v/>
      </c>
      <c r="V8">
        <f>HYPERLINK("https://klasma.github.io/Logging_2422/klagomål/A 10060-2022 FSC-klagomål.docx", "A 10060-2022")</f>
        <v/>
      </c>
      <c r="W8">
        <f>HYPERLINK("https://klasma.github.io/Logging_2422/klagomålsmail/A 10060-2022 FSC-klagomål mail.docx", "A 10060-2022")</f>
        <v/>
      </c>
      <c r="X8">
        <f>HYPERLINK("https://klasma.github.io/Logging_2422/tillsyn/A 10060-2022 tillsynsbegäran.docx", "A 10060-2022")</f>
        <v/>
      </c>
      <c r="Y8">
        <f>HYPERLINK("https://klasma.github.io/Logging_2422/tillsynsmail/A 10060-2022 tillsynsbegäran mail.docx", "A 10060-2022")</f>
        <v/>
      </c>
      <c r="Z8">
        <f>HYPERLINK("https://klasma.github.io/Logging_2422/fåglar/A 10060-2022 prioriterade fågelarter.docx", "A 10060-2022")</f>
        <v/>
      </c>
    </row>
    <row r="9" ht="15" customHeight="1">
      <c r="A9" t="inlineStr">
        <is>
          <t>A 43267-2021</t>
        </is>
      </c>
      <c r="B9" s="1" t="n">
        <v>44432</v>
      </c>
      <c r="C9" s="1" t="n">
        <v>46189</v>
      </c>
      <c r="D9" t="inlineStr">
        <is>
          <t>VÄSTERBOTTENS LÄN</t>
        </is>
      </c>
      <c r="E9" t="inlineStr">
        <is>
          <t>SORSELE</t>
        </is>
      </c>
      <c r="G9" t="n">
        <v>29</v>
      </c>
      <c r="H9" t="n">
        <v>4</v>
      </c>
      <c r="I9" t="n">
        <v>2</v>
      </c>
      <c r="J9" t="n">
        <v>11</v>
      </c>
      <c r="K9" t="n">
        <v>1</v>
      </c>
      <c r="L9" t="n">
        <v>0</v>
      </c>
      <c r="M9" t="n">
        <v>0</v>
      </c>
      <c r="N9" t="n">
        <v>0</v>
      </c>
      <c r="O9" t="n">
        <v>12</v>
      </c>
      <c r="P9" t="n">
        <v>1</v>
      </c>
      <c r="Q9" t="n">
        <v>15</v>
      </c>
      <c r="R9" s="2" t="inlineStr">
        <is>
          <t>Ostticka
Gammelgransskål
Garnlav
Granticka
Gränsticka
Harticka
Knottrig blåslav
Rödbrun blekspik
Skrovellav
Spillkråka
Tretåig hackspett
Ullticka
Luddlav
Spindelblomster
Revlummer</t>
        </is>
      </c>
      <c r="S9">
        <f>HYPERLINK("https://klasma.github.io/Logging_2422/artfynd/A 43267-2021 artfynd.xlsx", "A 43267-2021")</f>
        <v/>
      </c>
      <c r="T9">
        <f>HYPERLINK("https://klasma.github.io/Logging_2422/kartor/A 43267-2021 karta.png", "A 43267-2021")</f>
        <v/>
      </c>
      <c r="V9">
        <f>HYPERLINK("https://klasma.github.io/Logging_2422/klagomål/A 43267-2021 FSC-klagomål.docx", "A 43267-2021")</f>
        <v/>
      </c>
      <c r="W9">
        <f>HYPERLINK("https://klasma.github.io/Logging_2422/klagomålsmail/A 43267-2021 FSC-klagomål mail.docx", "A 43267-2021")</f>
        <v/>
      </c>
      <c r="X9">
        <f>HYPERLINK("https://klasma.github.io/Logging_2422/tillsyn/A 43267-2021 tillsynsbegäran.docx", "A 43267-2021")</f>
        <v/>
      </c>
      <c r="Y9">
        <f>HYPERLINK("https://klasma.github.io/Logging_2422/tillsynsmail/A 43267-2021 tillsynsbegäran mail.docx", "A 43267-2021")</f>
        <v/>
      </c>
      <c r="Z9">
        <f>HYPERLINK("https://klasma.github.io/Logging_2422/fåglar/A 43267-2021 prioriterade fågelarter.docx", "A 43267-2021")</f>
        <v/>
      </c>
    </row>
    <row r="10" ht="15" customHeight="1">
      <c r="A10" t="inlineStr">
        <is>
          <t>A 31945-2021</t>
        </is>
      </c>
      <c r="B10" s="1" t="n">
        <v>44370</v>
      </c>
      <c r="C10" s="1" t="n">
        <v>46189</v>
      </c>
      <c r="D10" t="inlineStr">
        <is>
          <t>VÄSTERBOTTENS LÄN</t>
        </is>
      </c>
      <c r="E10" t="inlineStr">
        <is>
          <t>SORSELE</t>
        </is>
      </c>
      <c r="F10" t="inlineStr">
        <is>
          <t>Allmännings- och besparingsskogar</t>
        </is>
      </c>
      <c r="G10" t="n">
        <v>17.7</v>
      </c>
      <c r="H10" t="n">
        <v>2</v>
      </c>
      <c r="I10" t="n">
        <v>0</v>
      </c>
      <c r="J10" t="n">
        <v>13</v>
      </c>
      <c r="K10" t="n">
        <v>2</v>
      </c>
      <c r="L10" t="n">
        <v>0</v>
      </c>
      <c r="M10" t="n">
        <v>0</v>
      </c>
      <c r="N10" t="n">
        <v>0</v>
      </c>
      <c r="O10" t="n">
        <v>15</v>
      </c>
      <c r="P10" t="n">
        <v>2</v>
      </c>
      <c r="Q10" t="n">
        <v>15</v>
      </c>
      <c r="R10" s="2" t="inlineStr">
        <is>
          <t>Doftticka
Rynkskinn
Doftskinn
Gammelgransskål
Garnlav
Granticka
Gränsticka
Harticka
Knottrig blåslav
Lunglav
Rosenticka
Skrovellav
Stiftgelélav
Tretåig hackspett
Ullticka</t>
        </is>
      </c>
      <c r="S10">
        <f>HYPERLINK("https://klasma.github.io/Logging_2422/artfynd/A 31945-2021 artfynd.xlsx", "A 31945-2021")</f>
        <v/>
      </c>
      <c r="T10">
        <f>HYPERLINK("https://klasma.github.io/Logging_2422/kartor/A 31945-2021 karta.png", "A 31945-2021")</f>
        <v/>
      </c>
      <c r="V10">
        <f>HYPERLINK("https://klasma.github.io/Logging_2422/klagomål/A 31945-2021 FSC-klagomål.docx", "A 31945-2021")</f>
        <v/>
      </c>
      <c r="W10">
        <f>HYPERLINK("https://klasma.github.io/Logging_2422/klagomålsmail/A 31945-2021 FSC-klagomål mail.docx", "A 31945-2021")</f>
        <v/>
      </c>
      <c r="X10">
        <f>HYPERLINK("https://klasma.github.io/Logging_2422/tillsyn/A 31945-2021 tillsynsbegäran.docx", "A 31945-2021")</f>
        <v/>
      </c>
      <c r="Y10">
        <f>HYPERLINK("https://klasma.github.io/Logging_2422/tillsynsmail/A 31945-2021 tillsynsbegäran mail.docx", "A 31945-2021")</f>
        <v/>
      </c>
      <c r="Z10">
        <f>HYPERLINK("https://klasma.github.io/Logging_2422/fåglar/A 31945-2021 prioriterade fågelarter.docx", "A 31945-2021")</f>
        <v/>
      </c>
    </row>
    <row r="11" ht="15" customHeight="1">
      <c r="A11" t="inlineStr">
        <is>
          <t>A 9110-2025</t>
        </is>
      </c>
      <c r="B11" s="1" t="n">
        <v>45713</v>
      </c>
      <c r="C11" s="1" t="n">
        <v>46189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46189</v>
      </c>
      <c r="D12" t="inlineStr">
        <is>
          <t>VÄSTERBOTTENS LÄN</t>
        </is>
      </c>
      <c r="E12" t="inlineStr">
        <is>
          <t>SORSELE</t>
        </is>
      </c>
      <c r="G12" t="n">
        <v>17.8</v>
      </c>
      <c r="H12" t="n">
        <v>3</v>
      </c>
      <c r="I12" t="n">
        <v>6</v>
      </c>
      <c r="J12" t="n">
        <v>7</v>
      </c>
      <c r="K12" t="n">
        <v>0</v>
      </c>
      <c r="L12" t="n">
        <v>0</v>
      </c>
      <c r="M12" t="n">
        <v>0</v>
      </c>
      <c r="N12" t="n">
        <v>0</v>
      </c>
      <c r="O12" t="n">
        <v>7</v>
      </c>
      <c r="P12" t="n">
        <v>0</v>
      </c>
      <c r="Q12" t="n">
        <v>14</v>
      </c>
      <c r="R12" s="2" t="inlineStr">
        <is>
          <t>Garnlav
Granticka
Harticka
Rosenticka
Skrovellav
Ullticka
Vitgrynig nållav
Dropptaggsvamp
Korallrot
Skinnlav
Spindelblomster
Stuplav
Ögonpyrola
Lavskrika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42138-2021</t>
        </is>
      </c>
      <c r="B13" s="1" t="n">
        <v>44426</v>
      </c>
      <c r="C13" s="1" t="n">
        <v>46189</v>
      </c>
      <c r="D13" t="inlineStr">
        <is>
          <t>VÄSTERBOTTENS LÄN</t>
        </is>
      </c>
      <c r="E13" t="inlineStr">
        <is>
          <t>SORSELE</t>
        </is>
      </c>
      <c r="G13" t="n">
        <v>20</v>
      </c>
      <c r="H13" t="n">
        <v>2</v>
      </c>
      <c r="I13" t="n">
        <v>6</v>
      </c>
      <c r="J13" t="n">
        <v>6</v>
      </c>
      <c r="K13" t="n">
        <v>0</v>
      </c>
      <c r="L13" t="n">
        <v>0</v>
      </c>
      <c r="M13" t="n">
        <v>0</v>
      </c>
      <c r="N13" t="n">
        <v>0</v>
      </c>
      <c r="O13" t="n">
        <v>6</v>
      </c>
      <c r="P13" t="n">
        <v>0</v>
      </c>
      <c r="Q13" t="n">
        <v>13</v>
      </c>
      <c r="R13" s="2" t="inlineStr">
        <is>
          <t>Blanksvart spiklav
Knottrig blåslav
Rosenticka
Rödbrun blekspik
Tallticka
Talltita
Bårdlav
Luddlav
Norrlandslav
Nästlav
Skinnlav
Stuplav
Revlummer</t>
        </is>
      </c>
      <c r="S13">
        <f>HYPERLINK("https://klasma.github.io/Logging_2422/artfynd/A 42138-2021 artfynd.xlsx", "A 42138-2021")</f>
        <v/>
      </c>
      <c r="T13">
        <f>HYPERLINK("https://klasma.github.io/Logging_2422/kartor/A 42138-2021 karta.png", "A 42138-2021")</f>
        <v/>
      </c>
      <c r="V13">
        <f>HYPERLINK("https://klasma.github.io/Logging_2422/klagomål/A 42138-2021 FSC-klagomål.docx", "A 42138-2021")</f>
        <v/>
      </c>
      <c r="W13">
        <f>HYPERLINK("https://klasma.github.io/Logging_2422/klagomålsmail/A 42138-2021 FSC-klagomål mail.docx", "A 42138-2021")</f>
        <v/>
      </c>
      <c r="X13">
        <f>HYPERLINK("https://klasma.github.io/Logging_2422/tillsyn/A 42138-2021 tillsynsbegäran.docx", "A 42138-2021")</f>
        <v/>
      </c>
      <c r="Y13">
        <f>HYPERLINK("https://klasma.github.io/Logging_2422/tillsynsmail/A 42138-2021 tillsynsbegäran mail.docx", "A 42138-2021")</f>
        <v/>
      </c>
      <c r="Z13">
        <f>HYPERLINK("https://klasma.github.io/Logging_2422/fåglar/A 42138-2021 prioriterade fågelarter.docx", "A 42138-2021")</f>
        <v/>
      </c>
    </row>
    <row r="14" ht="15" customHeight="1">
      <c r="A14" t="inlineStr">
        <is>
          <t>A 58496-2024</t>
        </is>
      </c>
      <c r="B14" s="1" t="n">
        <v>45635</v>
      </c>
      <c r="C14" s="1" t="n">
        <v>46189</v>
      </c>
      <c r="D14" t="inlineStr">
        <is>
          <t>VÄSTERBOTTENS LÄN</t>
        </is>
      </c>
      <c r="E14" t="inlineStr">
        <is>
          <t>SORSELE</t>
        </is>
      </c>
      <c r="G14" t="n">
        <v>7.8</v>
      </c>
      <c r="H14" t="n">
        <v>1</v>
      </c>
      <c r="I14" t="n">
        <v>1</v>
      </c>
      <c r="J14" t="n">
        <v>10</v>
      </c>
      <c r="K14" t="n">
        <v>2</v>
      </c>
      <c r="L14" t="n">
        <v>0</v>
      </c>
      <c r="M14" t="n">
        <v>0</v>
      </c>
      <c r="N14" t="n">
        <v>0</v>
      </c>
      <c r="O14" t="n">
        <v>12</v>
      </c>
      <c r="P14" t="n">
        <v>2</v>
      </c>
      <c r="Q14" t="n">
        <v>13</v>
      </c>
      <c r="R14" s="2" t="inlineStr">
        <is>
          <t>Ostticka
Rynkskinn
Doftskinn
Gammelgransskål
Garnlav
Granticka
Gränsticka
Harticka
Rosenticka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46189</v>
      </c>
      <c r="D15" t="inlineStr">
        <is>
          <t>VÄSTERBOTTENS LÄN</t>
        </is>
      </c>
      <c r="E15" t="inlineStr">
        <is>
          <t>SORSELE</t>
        </is>
      </c>
      <c r="G15" t="n">
        <v>22.3</v>
      </c>
      <c r="H15" t="n">
        <v>0</v>
      </c>
      <c r="I15" t="n">
        <v>0</v>
      </c>
      <c r="J15" t="n">
        <v>10</v>
      </c>
      <c r="K15" t="n">
        <v>1</v>
      </c>
      <c r="L15" t="n">
        <v>0</v>
      </c>
      <c r="M15" t="n">
        <v>0</v>
      </c>
      <c r="N15" t="n">
        <v>0</v>
      </c>
      <c r="O15" t="n">
        <v>11</v>
      </c>
      <c r="P15" t="n">
        <v>1</v>
      </c>
      <c r="Q15" t="n">
        <v>11</v>
      </c>
      <c r="R15" s="2" t="inlineStr">
        <is>
          <t>Tajgaskinn
Garnlav
Granticka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57190-2025</t>
        </is>
      </c>
      <c r="B16" s="1" t="n">
        <v>45979.57586805556</v>
      </c>
      <c r="C16" s="1" t="n">
        <v>46189</v>
      </c>
      <c r="D16" t="inlineStr">
        <is>
          <t>VÄSTERBOTTENS LÄN</t>
        </is>
      </c>
      <c r="E16" t="inlineStr">
        <is>
          <t>SORSELE</t>
        </is>
      </c>
      <c r="G16" t="n">
        <v>7.8</v>
      </c>
      <c r="H16" t="n">
        <v>1</v>
      </c>
      <c r="I16" t="n">
        <v>3</v>
      </c>
      <c r="J16" t="n">
        <v>5</v>
      </c>
      <c r="K16" t="n">
        <v>2</v>
      </c>
      <c r="L16" t="n">
        <v>0</v>
      </c>
      <c r="M16" t="n">
        <v>0</v>
      </c>
      <c r="N16" t="n">
        <v>0</v>
      </c>
      <c r="O16" t="n">
        <v>7</v>
      </c>
      <c r="P16" t="n">
        <v>2</v>
      </c>
      <c r="Q16" t="n">
        <v>10</v>
      </c>
      <c r="R16" s="2" t="inlineStr">
        <is>
          <t>Kristallticka
Lappticka
Gammelgransskål
Granticka
Lunglav
Skrovellav
Ullticka
Bårdlav
Luddlav
Spindelblomster</t>
        </is>
      </c>
      <c r="S16">
        <f>HYPERLINK("https://klasma.github.io/Logging_2422/artfynd/A 57190-2025 artfynd.xlsx", "A 57190-2025")</f>
        <v/>
      </c>
      <c r="T16">
        <f>HYPERLINK("https://klasma.github.io/Logging_2422/kartor/A 57190-2025 karta.png", "A 57190-2025")</f>
        <v/>
      </c>
      <c r="V16">
        <f>HYPERLINK("https://klasma.github.io/Logging_2422/klagomål/A 57190-2025 FSC-klagomål.docx", "A 57190-2025")</f>
        <v/>
      </c>
      <c r="W16">
        <f>HYPERLINK("https://klasma.github.io/Logging_2422/klagomålsmail/A 57190-2025 FSC-klagomål mail.docx", "A 57190-2025")</f>
        <v/>
      </c>
      <c r="X16">
        <f>HYPERLINK("https://klasma.github.io/Logging_2422/tillsyn/A 57190-2025 tillsynsbegäran.docx", "A 57190-2025")</f>
        <v/>
      </c>
      <c r="Y16">
        <f>HYPERLINK("https://klasma.github.io/Logging_2422/tillsynsmail/A 57190-2025 tillsynsbegäran mail.docx", "A 57190-2025")</f>
        <v/>
      </c>
    </row>
    <row r="17" ht="15" customHeight="1">
      <c r="A17" t="inlineStr">
        <is>
          <t>A 52336-2024</t>
        </is>
      </c>
      <c r="B17" s="1" t="n">
        <v>45609</v>
      </c>
      <c r="C17" s="1" t="n">
        <v>46189</v>
      </c>
      <c r="D17" t="inlineStr">
        <is>
          <t>VÄSTERBOTTENS LÄN</t>
        </is>
      </c>
      <c r="E17" t="inlineStr">
        <is>
          <t>SORSELE</t>
        </is>
      </c>
      <c r="G17" t="n">
        <v>22</v>
      </c>
      <c r="H17" t="n">
        <v>0</v>
      </c>
      <c r="I17" t="n">
        <v>0</v>
      </c>
      <c r="J17" t="n">
        <v>9</v>
      </c>
      <c r="K17" t="n">
        <v>1</v>
      </c>
      <c r="L17" t="n">
        <v>0</v>
      </c>
      <c r="M17" t="n">
        <v>0</v>
      </c>
      <c r="N17" t="n">
        <v>0</v>
      </c>
      <c r="O17" t="n">
        <v>10</v>
      </c>
      <c r="P17" t="n">
        <v>1</v>
      </c>
      <c r="Q17" t="n">
        <v>10</v>
      </c>
      <c r="R17" s="2" t="inlineStr">
        <is>
          <t>Rynkskinn
Garnlav
Granticka
Gränsticka
Knottrig blåslav
Rosenticka
Ullticka
Vedflamlav
Vedskivlav
Vitskaftad svartspik</t>
        </is>
      </c>
      <c r="S17">
        <f>HYPERLINK("https://klasma.github.io/Logging_2422/artfynd/A 52336-2024 artfynd.xlsx", "A 52336-2024")</f>
        <v/>
      </c>
      <c r="T17">
        <f>HYPERLINK("https://klasma.github.io/Logging_2422/kartor/A 52336-2024 karta.png", "A 52336-2024")</f>
        <v/>
      </c>
      <c r="V17">
        <f>HYPERLINK("https://klasma.github.io/Logging_2422/klagomål/A 52336-2024 FSC-klagomål.docx", "A 52336-2024")</f>
        <v/>
      </c>
      <c r="W17">
        <f>HYPERLINK("https://klasma.github.io/Logging_2422/klagomålsmail/A 52336-2024 FSC-klagomål mail.docx", "A 52336-2024")</f>
        <v/>
      </c>
      <c r="X17">
        <f>HYPERLINK("https://klasma.github.io/Logging_2422/tillsyn/A 52336-2024 tillsynsbegäran.docx", "A 52336-2024")</f>
        <v/>
      </c>
      <c r="Y17">
        <f>HYPERLINK("https://klasma.github.io/Logging_2422/tillsynsmail/A 52336-2024 tillsynsbegäran mail.docx", "A 52336-2024")</f>
        <v/>
      </c>
    </row>
    <row r="18" ht="15" customHeight="1">
      <c r="A18" t="inlineStr">
        <is>
          <t>A 1324-2025</t>
        </is>
      </c>
      <c r="B18" s="1" t="n">
        <v>45667</v>
      </c>
      <c r="C18" s="1" t="n">
        <v>46189</v>
      </c>
      <c r="D18" t="inlineStr">
        <is>
          <t>VÄSTERBOTTENS LÄN</t>
        </is>
      </c>
      <c r="E18" t="inlineStr">
        <is>
          <t>SORSELE</t>
        </is>
      </c>
      <c r="G18" t="n">
        <v>17.7</v>
      </c>
      <c r="H18" t="n">
        <v>0</v>
      </c>
      <c r="I18" t="n">
        <v>1</v>
      </c>
      <c r="J18" t="n">
        <v>7</v>
      </c>
      <c r="K18" t="n">
        <v>0</v>
      </c>
      <c r="L18" t="n">
        <v>0</v>
      </c>
      <c r="M18" t="n">
        <v>0</v>
      </c>
      <c r="N18" t="n">
        <v>0</v>
      </c>
      <c r="O18" t="n">
        <v>7</v>
      </c>
      <c r="P18" t="n">
        <v>0</v>
      </c>
      <c r="Q18" t="n">
        <v>8</v>
      </c>
      <c r="R18" s="2" t="inlineStr">
        <is>
          <t>Garnlav
Harticka
Knottrig blåslav
Rosenticka
Skrovellav
Ullticka
Vitskaftad svartspik
Svavelriska</t>
        </is>
      </c>
      <c r="S18">
        <f>HYPERLINK("https://klasma.github.io/Logging_2422/artfynd/A 1324-2025 artfynd.xlsx", "A 1324-2025")</f>
        <v/>
      </c>
      <c r="T18">
        <f>HYPERLINK("https://klasma.github.io/Logging_2422/kartor/A 1324-2025 karta.png", "A 1324-2025")</f>
        <v/>
      </c>
      <c r="V18">
        <f>HYPERLINK("https://klasma.github.io/Logging_2422/klagomål/A 1324-2025 FSC-klagomål.docx", "A 1324-2025")</f>
        <v/>
      </c>
      <c r="W18">
        <f>HYPERLINK("https://klasma.github.io/Logging_2422/klagomålsmail/A 1324-2025 FSC-klagomål mail.docx", "A 1324-2025")</f>
        <v/>
      </c>
      <c r="X18">
        <f>HYPERLINK("https://klasma.github.io/Logging_2422/tillsyn/A 1324-2025 tillsynsbegäran.docx", "A 1324-2025")</f>
        <v/>
      </c>
      <c r="Y18">
        <f>HYPERLINK("https://klasma.github.io/Logging_2422/tillsynsmail/A 1324-2025 tillsynsbegäran mail.docx", "A 1324-2025")</f>
        <v/>
      </c>
    </row>
    <row r="19" ht="15" customHeight="1">
      <c r="A19" t="inlineStr">
        <is>
          <t>A 2985-2025</t>
        </is>
      </c>
      <c r="B19" s="1" t="n">
        <v>45678</v>
      </c>
      <c r="C19" s="1" t="n">
        <v>46189</v>
      </c>
      <c r="D19" t="inlineStr">
        <is>
          <t>VÄSTERBOTTENS LÄN</t>
        </is>
      </c>
      <c r="E19" t="inlineStr">
        <is>
          <t>SORSELE</t>
        </is>
      </c>
      <c r="F19" t="inlineStr">
        <is>
          <t>Övriga statliga verk och myndigheter</t>
        </is>
      </c>
      <c r="G19" t="n">
        <v>82.5</v>
      </c>
      <c r="H19" t="n">
        <v>1</v>
      </c>
      <c r="I19" t="n">
        <v>0</v>
      </c>
      <c r="J19" t="n">
        <v>7</v>
      </c>
      <c r="K19" t="n">
        <v>1</v>
      </c>
      <c r="L19" t="n">
        <v>0</v>
      </c>
      <c r="M19" t="n">
        <v>0</v>
      </c>
      <c r="N19" t="n">
        <v>0</v>
      </c>
      <c r="O19" t="n">
        <v>8</v>
      </c>
      <c r="P19" t="n">
        <v>1</v>
      </c>
      <c r="Q19" t="n">
        <v>8</v>
      </c>
      <c r="R19" s="2" t="inlineStr">
        <is>
          <t>Grantickeporing
Gammelgransskål
Garnlav
Granticka
Rödbrun blekspik
Utter
Vitgrynig nållav
Vitskaftad svartspik</t>
        </is>
      </c>
      <c r="S19">
        <f>HYPERLINK("https://klasma.github.io/Logging_2422/artfynd/A 2985-2025 artfynd.xlsx", "A 2985-2025")</f>
        <v/>
      </c>
      <c r="T19">
        <f>HYPERLINK("https://klasma.github.io/Logging_2422/kartor/A 2985-2025 karta.png", "A 2985-2025")</f>
        <v/>
      </c>
      <c r="V19">
        <f>HYPERLINK("https://klasma.github.io/Logging_2422/klagomål/A 2985-2025 FSC-klagomål.docx", "A 2985-2025")</f>
        <v/>
      </c>
      <c r="W19">
        <f>HYPERLINK("https://klasma.github.io/Logging_2422/klagomålsmail/A 2985-2025 FSC-klagomål mail.docx", "A 2985-2025")</f>
        <v/>
      </c>
      <c r="X19">
        <f>HYPERLINK("https://klasma.github.io/Logging_2422/tillsyn/A 2985-2025 tillsynsbegäran.docx", "A 2985-2025")</f>
        <v/>
      </c>
      <c r="Y19">
        <f>HYPERLINK("https://klasma.github.io/Logging_2422/tillsynsmail/A 2985-2025 tillsynsbegäran mail.docx", "A 2985-2025")</f>
        <v/>
      </c>
    </row>
    <row r="20" ht="15" customHeight="1">
      <c r="A20" t="inlineStr">
        <is>
          <t>A 57580-2024</t>
        </is>
      </c>
      <c r="B20" s="1" t="n">
        <v>45630</v>
      </c>
      <c r="C20" s="1" t="n">
        <v>46189</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31833-2023</t>
        </is>
      </c>
      <c r="B21" s="1" t="n">
        <v>45106</v>
      </c>
      <c r="C21" s="1" t="n">
        <v>46189</v>
      </c>
      <c r="D21" t="inlineStr">
        <is>
          <t>VÄSTERBOTTENS LÄN</t>
        </is>
      </c>
      <c r="E21" t="inlineStr">
        <is>
          <t>SORSELE</t>
        </is>
      </c>
      <c r="G21" t="n">
        <v>10.8</v>
      </c>
      <c r="H21" t="n">
        <v>0</v>
      </c>
      <c r="I21" t="n">
        <v>0</v>
      </c>
      <c r="J21" t="n">
        <v>7</v>
      </c>
      <c r="K21" t="n">
        <v>0</v>
      </c>
      <c r="L21" t="n">
        <v>0</v>
      </c>
      <c r="M21" t="n">
        <v>0</v>
      </c>
      <c r="N21" t="n">
        <v>0</v>
      </c>
      <c r="O21" t="n">
        <v>7</v>
      </c>
      <c r="P21" t="n">
        <v>0</v>
      </c>
      <c r="Q21" t="n">
        <v>7</v>
      </c>
      <c r="R21" s="2" t="inlineStr">
        <is>
          <t>Brunpudrad nållav
Garnlav
Granticka
Gränsticka
Rosenticka
Rödbrun blekspik
Vitgrynig nållav</t>
        </is>
      </c>
      <c r="S21">
        <f>HYPERLINK("https://klasma.github.io/Logging_2422/artfynd/A 31833-2023 artfynd.xlsx", "A 31833-2023")</f>
        <v/>
      </c>
      <c r="T21">
        <f>HYPERLINK("https://klasma.github.io/Logging_2422/kartor/A 31833-2023 karta.png", "A 31833-2023")</f>
        <v/>
      </c>
      <c r="V21">
        <f>HYPERLINK("https://klasma.github.io/Logging_2422/klagomål/A 31833-2023 FSC-klagomål.docx", "A 31833-2023")</f>
        <v/>
      </c>
      <c r="W21">
        <f>HYPERLINK("https://klasma.github.io/Logging_2422/klagomålsmail/A 31833-2023 FSC-klagomål mail.docx", "A 31833-2023")</f>
        <v/>
      </c>
      <c r="X21">
        <f>HYPERLINK("https://klasma.github.io/Logging_2422/tillsyn/A 31833-2023 tillsynsbegäran.docx", "A 31833-2023")</f>
        <v/>
      </c>
      <c r="Y21">
        <f>HYPERLINK("https://klasma.github.io/Logging_2422/tillsynsmail/A 31833-2023 tillsynsbegäran mail.docx", "A 31833-2023")</f>
        <v/>
      </c>
    </row>
    <row r="22" ht="15" customHeight="1">
      <c r="A22" t="inlineStr">
        <is>
          <t>A 36104-2021</t>
        </is>
      </c>
      <c r="B22" s="1" t="n">
        <v>44386</v>
      </c>
      <c r="C22" s="1" t="n">
        <v>46189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4192-2025</t>
        </is>
      </c>
      <c r="B23" s="1" t="n">
        <v>45685</v>
      </c>
      <c r="C23" s="1" t="n">
        <v>46189</v>
      </c>
      <c r="D23" t="inlineStr">
        <is>
          <t>VÄSTERBOTTENS LÄN</t>
        </is>
      </c>
      <c r="E23" t="inlineStr">
        <is>
          <t>SORSELE</t>
        </is>
      </c>
      <c r="G23" t="n">
        <v>2.1</v>
      </c>
      <c r="H23" t="n">
        <v>0</v>
      </c>
      <c r="I23" t="n">
        <v>0</v>
      </c>
      <c r="J23" t="n">
        <v>6</v>
      </c>
      <c r="K23" t="n">
        <v>0</v>
      </c>
      <c r="L23" t="n">
        <v>0</v>
      </c>
      <c r="M23" t="n">
        <v>0</v>
      </c>
      <c r="N23" t="n">
        <v>0</v>
      </c>
      <c r="O23" t="n">
        <v>6</v>
      </c>
      <c r="P23" t="n">
        <v>0</v>
      </c>
      <c r="Q23" t="n">
        <v>6</v>
      </c>
      <c r="R23" s="2" t="inlineStr">
        <is>
          <t>Gammelgransskål
Garnlav
Harticka
Rosenticka
Vitgrynig nållav
Vitskaftad svartspik</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58498-2024</t>
        </is>
      </c>
      <c r="B24" s="1" t="n">
        <v>45635</v>
      </c>
      <c r="C24" s="1" t="n">
        <v>46189</v>
      </c>
      <c r="D24" t="inlineStr">
        <is>
          <t>VÄSTERBOTTENS LÄN</t>
        </is>
      </c>
      <c r="E24" t="inlineStr">
        <is>
          <t>SORSELE</t>
        </is>
      </c>
      <c r="G24" t="n">
        <v>2.7</v>
      </c>
      <c r="H24" t="n">
        <v>0</v>
      </c>
      <c r="I24" t="n">
        <v>1</v>
      </c>
      <c r="J24" t="n">
        <v>5</v>
      </c>
      <c r="K24" t="n">
        <v>0</v>
      </c>
      <c r="L24" t="n">
        <v>0</v>
      </c>
      <c r="M24" t="n">
        <v>0</v>
      </c>
      <c r="N24" t="n">
        <v>0</v>
      </c>
      <c r="O24" t="n">
        <v>5</v>
      </c>
      <c r="P24" t="n">
        <v>0</v>
      </c>
      <c r="Q24" t="n">
        <v>6</v>
      </c>
      <c r="R24" s="2" t="inlineStr">
        <is>
          <t>Blanksvart spiklav
Blågrå svartspik
Granticka
Harticka
Vitgrynig nållav
Nästlav</t>
        </is>
      </c>
      <c r="S24">
        <f>HYPERLINK("https://klasma.github.io/Logging_2422/artfynd/A 58498-2024 artfynd.xlsx", "A 58498-2024")</f>
        <v/>
      </c>
      <c r="T24">
        <f>HYPERLINK("https://klasma.github.io/Logging_2422/kartor/A 58498-2024 karta.png", "A 58498-2024")</f>
        <v/>
      </c>
      <c r="V24">
        <f>HYPERLINK("https://klasma.github.io/Logging_2422/klagomål/A 58498-2024 FSC-klagomål.docx", "A 58498-2024")</f>
        <v/>
      </c>
      <c r="W24">
        <f>HYPERLINK("https://klasma.github.io/Logging_2422/klagomålsmail/A 58498-2024 FSC-klagomål mail.docx", "A 58498-2024")</f>
        <v/>
      </c>
      <c r="X24">
        <f>HYPERLINK("https://klasma.github.io/Logging_2422/tillsyn/A 58498-2024 tillsynsbegäran.docx", "A 58498-2024")</f>
        <v/>
      </c>
      <c r="Y24">
        <f>HYPERLINK("https://klasma.github.io/Logging_2422/tillsynsmail/A 58498-2024 tillsynsbegäran mail.docx", "A 58498-2024")</f>
        <v/>
      </c>
    </row>
    <row r="25" ht="15" customHeight="1">
      <c r="A25" t="inlineStr">
        <is>
          <t>A 58497-2024</t>
        </is>
      </c>
      <c r="B25" s="1" t="n">
        <v>45635</v>
      </c>
      <c r="C25" s="1" t="n">
        <v>46189</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58499-2024</t>
        </is>
      </c>
      <c r="B26" s="1" t="n">
        <v>45635</v>
      </c>
      <c r="C26" s="1" t="n">
        <v>46189</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46189</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50916-2022</t>
        </is>
      </c>
      <c r="B28" s="1" t="n">
        <v>44865</v>
      </c>
      <c r="C28" s="1" t="n">
        <v>46189</v>
      </c>
      <c r="D28" t="inlineStr">
        <is>
          <t>VÄSTERBOTTENS LÄN</t>
        </is>
      </c>
      <c r="E28" t="inlineStr">
        <is>
          <t>SORSELE</t>
        </is>
      </c>
      <c r="G28" t="n">
        <v>4.1</v>
      </c>
      <c r="H28" t="n">
        <v>1</v>
      </c>
      <c r="I28" t="n">
        <v>0</v>
      </c>
      <c r="J28" t="n">
        <v>6</v>
      </c>
      <c r="K28" t="n">
        <v>0</v>
      </c>
      <c r="L28" t="n">
        <v>0</v>
      </c>
      <c r="M28" t="n">
        <v>0</v>
      </c>
      <c r="N28" t="n">
        <v>0</v>
      </c>
      <c r="O28" t="n">
        <v>6</v>
      </c>
      <c r="P28" t="n">
        <v>0</v>
      </c>
      <c r="Q28" t="n">
        <v>6</v>
      </c>
      <c r="R28" s="2" t="inlineStr">
        <is>
          <t>Garnlav
Granticka
Harticka
Rosenticka
Tretåig hackspett
Ullticka</t>
        </is>
      </c>
      <c r="S28">
        <f>HYPERLINK("https://klasma.github.io/Logging_2422/artfynd/A 50916-2022 artfynd.xlsx", "A 50916-2022")</f>
        <v/>
      </c>
      <c r="T28">
        <f>HYPERLINK("https://klasma.github.io/Logging_2422/kartor/A 50916-2022 karta.png", "A 50916-2022")</f>
        <v/>
      </c>
      <c r="V28">
        <f>HYPERLINK("https://klasma.github.io/Logging_2422/klagomål/A 50916-2022 FSC-klagomål.docx", "A 50916-2022")</f>
        <v/>
      </c>
      <c r="W28">
        <f>HYPERLINK("https://klasma.github.io/Logging_2422/klagomålsmail/A 50916-2022 FSC-klagomål mail.docx", "A 50916-2022")</f>
        <v/>
      </c>
      <c r="X28">
        <f>HYPERLINK("https://klasma.github.io/Logging_2422/tillsyn/A 50916-2022 tillsynsbegäran.docx", "A 50916-2022")</f>
        <v/>
      </c>
      <c r="Y28">
        <f>HYPERLINK("https://klasma.github.io/Logging_2422/tillsynsmail/A 50916-2022 tillsynsbegäran mail.docx", "A 50916-2022")</f>
        <v/>
      </c>
      <c r="Z28">
        <f>HYPERLINK("https://klasma.github.io/Logging_2422/fåglar/A 50916-2022 prioriterade fågelarter.docx", "A 50916-2022")</f>
        <v/>
      </c>
    </row>
    <row r="29" ht="15" customHeight="1">
      <c r="A29" t="inlineStr">
        <is>
          <t>A 12714-2026</t>
        </is>
      </c>
      <c r="B29" s="1" t="n">
        <v>46091</v>
      </c>
      <c r="C29" s="1" t="n">
        <v>46189</v>
      </c>
      <c r="D29" t="inlineStr">
        <is>
          <t>VÄSTERBOTTENS LÄN</t>
        </is>
      </c>
      <c r="E29" t="inlineStr">
        <is>
          <t>SORSELE</t>
        </is>
      </c>
      <c r="G29" t="n">
        <v>28.6</v>
      </c>
      <c r="H29" t="n">
        <v>0</v>
      </c>
      <c r="I29" t="n">
        <v>3</v>
      </c>
      <c r="J29" t="n">
        <v>3</v>
      </c>
      <c r="K29" t="n">
        <v>0</v>
      </c>
      <c r="L29" t="n">
        <v>0</v>
      </c>
      <c r="M29" t="n">
        <v>0</v>
      </c>
      <c r="N29" t="n">
        <v>0</v>
      </c>
      <c r="O29" t="n">
        <v>3</v>
      </c>
      <c r="P29" t="n">
        <v>0</v>
      </c>
      <c r="Q29" t="n">
        <v>6</v>
      </c>
      <c r="R29" s="2" t="inlineStr">
        <is>
          <t>Granticka
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54568-2021</t>
        </is>
      </c>
      <c r="B30" s="1" t="n">
        <v>44473</v>
      </c>
      <c r="C30" s="1" t="n">
        <v>46189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39882-2025</t>
        </is>
      </c>
      <c r="B31" s="1" t="n">
        <v>45891.6204050926</v>
      </c>
      <c r="C31" s="1" t="n">
        <v>46189</v>
      </c>
      <c r="D31" t="inlineStr">
        <is>
          <t>VÄSTERBOTTENS LÄN</t>
        </is>
      </c>
      <c r="E31" t="inlineStr">
        <is>
          <t>SORSELE</t>
        </is>
      </c>
      <c r="G31" t="n">
        <v>10.4</v>
      </c>
      <c r="H31" t="n">
        <v>0</v>
      </c>
      <c r="I31" t="n">
        <v>1</v>
      </c>
      <c r="J31" t="n">
        <v>3</v>
      </c>
      <c r="K31" t="n">
        <v>1</v>
      </c>
      <c r="L31" t="n">
        <v>0</v>
      </c>
      <c r="M31" t="n">
        <v>0</v>
      </c>
      <c r="N31" t="n">
        <v>0</v>
      </c>
      <c r="O31" t="n">
        <v>4</v>
      </c>
      <c r="P31" t="n">
        <v>1</v>
      </c>
      <c r="Q31" t="n">
        <v>5</v>
      </c>
      <c r="R31" s="2" t="inlineStr">
        <is>
          <t>Ostticka
Gammelgransskål
Granticka
Stjärntagging
Skinnlav</t>
        </is>
      </c>
      <c r="S31">
        <f>HYPERLINK("https://klasma.github.io/Logging_2422/artfynd/A 39882-2025 artfynd.xlsx", "A 39882-2025")</f>
        <v/>
      </c>
      <c r="T31">
        <f>HYPERLINK("https://klasma.github.io/Logging_2422/kartor/A 39882-2025 karta.png", "A 39882-2025")</f>
        <v/>
      </c>
      <c r="V31">
        <f>HYPERLINK("https://klasma.github.io/Logging_2422/klagomål/A 39882-2025 FSC-klagomål.docx", "A 39882-2025")</f>
        <v/>
      </c>
      <c r="W31">
        <f>HYPERLINK("https://klasma.github.io/Logging_2422/klagomålsmail/A 39882-2025 FSC-klagomål mail.docx", "A 39882-2025")</f>
        <v/>
      </c>
      <c r="X31">
        <f>HYPERLINK("https://klasma.github.io/Logging_2422/tillsyn/A 39882-2025 tillsynsbegäran.docx", "A 39882-2025")</f>
        <v/>
      </c>
      <c r="Y31">
        <f>HYPERLINK("https://klasma.github.io/Logging_2422/tillsynsmail/A 39882-2025 tillsynsbegäran mail.docx", "A 39882-2025")</f>
        <v/>
      </c>
    </row>
    <row r="32" ht="15" customHeight="1">
      <c r="A32" t="inlineStr">
        <is>
          <t>A 32798-2025</t>
        </is>
      </c>
      <c r="B32" s="1" t="n">
        <v>45839</v>
      </c>
      <c r="C32" s="1" t="n">
        <v>46189</v>
      </c>
      <c r="D32" t="inlineStr">
        <is>
          <t>VÄSTERBOTTENS LÄN</t>
        </is>
      </c>
      <c r="E32" t="inlineStr">
        <is>
          <t>SORSELE</t>
        </is>
      </c>
      <c r="G32" t="n">
        <v>14.4</v>
      </c>
      <c r="H32" t="n">
        <v>0</v>
      </c>
      <c r="I32" t="n">
        <v>0</v>
      </c>
      <c r="J32" t="n">
        <v>5</v>
      </c>
      <c r="K32" t="n">
        <v>0</v>
      </c>
      <c r="L32" t="n">
        <v>0</v>
      </c>
      <c r="M32" t="n">
        <v>0</v>
      </c>
      <c r="N32" t="n">
        <v>0</v>
      </c>
      <c r="O32" t="n">
        <v>5</v>
      </c>
      <c r="P32" t="n">
        <v>0</v>
      </c>
      <c r="Q32" t="n">
        <v>5</v>
      </c>
      <c r="R32" s="2" t="inlineStr">
        <is>
          <t>Garnlav
Granticka
Harticka
Ullticka
Vitgrynig nållav</t>
        </is>
      </c>
      <c r="S32">
        <f>HYPERLINK("https://klasma.github.io/Logging_2422/artfynd/A 32798-2025 artfynd.xlsx", "A 32798-2025")</f>
        <v/>
      </c>
      <c r="T32">
        <f>HYPERLINK("https://klasma.github.io/Logging_2422/kartor/A 32798-2025 karta.png", "A 32798-2025")</f>
        <v/>
      </c>
      <c r="V32">
        <f>HYPERLINK("https://klasma.github.io/Logging_2422/klagomål/A 32798-2025 FSC-klagomål.docx", "A 32798-2025")</f>
        <v/>
      </c>
      <c r="W32">
        <f>HYPERLINK("https://klasma.github.io/Logging_2422/klagomålsmail/A 32798-2025 FSC-klagomål mail.docx", "A 32798-2025")</f>
        <v/>
      </c>
      <c r="X32">
        <f>HYPERLINK("https://klasma.github.io/Logging_2422/tillsyn/A 32798-2025 tillsynsbegäran.docx", "A 32798-2025")</f>
        <v/>
      </c>
      <c r="Y32">
        <f>HYPERLINK("https://klasma.github.io/Logging_2422/tillsynsmail/A 32798-2025 tillsynsbegäran mail.docx", "A 32798-2025")</f>
        <v/>
      </c>
    </row>
    <row r="33" ht="15" customHeight="1">
      <c r="A33" t="inlineStr">
        <is>
          <t>A 66443-2021</t>
        </is>
      </c>
      <c r="B33" s="1" t="n">
        <v>44518</v>
      </c>
      <c r="C33" s="1" t="n">
        <v>46189</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46189</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29797-2025</t>
        </is>
      </c>
      <c r="B35" s="1" t="n">
        <v>45825</v>
      </c>
      <c r="C35" s="1" t="n">
        <v>46189</v>
      </c>
      <c r="D35" t="inlineStr">
        <is>
          <t>VÄSTERBOTTENS LÄN</t>
        </is>
      </c>
      <c r="E35" t="inlineStr">
        <is>
          <t>SORSELE</t>
        </is>
      </c>
      <c r="F35" t="inlineStr">
        <is>
          <t>Allmännings- och besparingsskogar</t>
        </is>
      </c>
      <c r="G35" t="n">
        <v>19.8</v>
      </c>
      <c r="H35" t="n">
        <v>1</v>
      </c>
      <c r="I35" t="n">
        <v>0</v>
      </c>
      <c r="J35" t="n">
        <v>3</v>
      </c>
      <c r="K35" t="n">
        <v>1</v>
      </c>
      <c r="L35" t="n">
        <v>0</v>
      </c>
      <c r="M35" t="n">
        <v>0</v>
      </c>
      <c r="N35" t="n">
        <v>0</v>
      </c>
      <c r="O35" t="n">
        <v>4</v>
      </c>
      <c r="P35" t="n">
        <v>1</v>
      </c>
      <c r="Q35" t="n">
        <v>4</v>
      </c>
      <c r="R35" s="2" t="inlineStr">
        <is>
          <t>Liten sotlav
Garnlav
Gränsticka
Tretåig hackspett</t>
        </is>
      </c>
      <c r="S35">
        <f>HYPERLINK("https://klasma.github.io/Logging_2422/artfynd/A 29797-2025 artfynd.xlsx", "A 29797-2025")</f>
        <v/>
      </c>
      <c r="T35">
        <f>HYPERLINK("https://klasma.github.io/Logging_2422/kartor/A 29797-2025 karta.png", "A 29797-2025")</f>
        <v/>
      </c>
      <c r="V35">
        <f>HYPERLINK("https://klasma.github.io/Logging_2422/klagomål/A 29797-2025 FSC-klagomål.docx", "A 29797-2025")</f>
        <v/>
      </c>
      <c r="W35">
        <f>HYPERLINK("https://klasma.github.io/Logging_2422/klagomålsmail/A 29797-2025 FSC-klagomål mail.docx", "A 29797-2025")</f>
        <v/>
      </c>
      <c r="X35">
        <f>HYPERLINK("https://klasma.github.io/Logging_2422/tillsyn/A 29797-2025 tillsynsbegäran.docx", "A 29797-2025")</f>
        <v/>
      </c>
      <c r="Y35">
        <f>HYPERLINK("https://klasma.github.io/Logging_2422/tillsynsmail/A 29797-2025 tillsynsbegäran mail.docx", "A 29797-2025")</f>
        <v/>
      </c>
      <c r="Z35">
        <f>HYPERLINK("https://klasma.github.io/Logging_2422/fåglar/A 29797-2025 prioriterade fågelarter.docx", "A 29797-2025")</f>
        <v/>
      </c>
    </row>
    <row r="36" ht="15" customHeight="1">
      <c r="A36" t="inlineStr">
        <is>
          <t>A 43272-2021</t>
        </is>
      </c>
      <c r="B36" s="1" t="n">
        <v>44432</v>
      </c>
      <c r="C36" s="1" t="n">
        <v>46189</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14520-2024</t>
        </is>
      </c>
      <c r="B37" s="1" t="n">
        <v>45394</v>
      </c>
      <c r="C37" s="1" t="n">
        <v>46189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43265-2021</t>
        </is>
      </c>
      <c r="B38" s="1" t="n">
        <v>44432</v>
      </c>
      <c r="C38" s="1" t="n">
        <v>46189</v>
      </c>
      <c r="D38" t="inlineStr">
        <is>
          <t>VÄSTERBOTTENS LÄN</t>
        </is>
      </c>
      <c r="E38" t="inlineStr">
        <is>
          <t>SORSELE</t>
        </is>
      </c>
      <c r="G38" t="n">
        <v>38.3</v>
      </c>
      <c r="H38" t="n">
        <v>1</v>
      </c>
      <c r="I38" t="n">
        <v>0</v>
      </c>
      <c r="J38" t="n">
        <v>1</v>
      </c>
      <c r="K38" t="n">
        <v>0</v>
      </c>
      <c r="L38" t="n">
        <v>0</v>
      </c>
      <c r="M38" t="n">
        <v>0</v>
      </c>
      <c r="N38" t="n">
        <v>0</v>
      </c>
      <c r="O38" t="n">
        <v>1</v>
      </c>
      <c r="P38" t="n">
        <v>0</v>
      </c>
      <c r="Q38" t="n">
        <v>2</v>
      </c>
      <c r="R38" s="2" t="inlineStr">
        <is>
          <t>Garnlav
Fläcknycklar</t>
        </is>
      </c>
      <c r="S38">
        <f>HYPERLINK("https://klasma.github.io/Logging_2422/artfynd/A 43265-2021 artfynd.xlsx", "A 43265-2021")</f>
        <v/>
      </c>
      <c r="T38">
        <f>HYPERLINK("https://klasma.github.io/Logging_2422/kartor/A 43265-2021 karta.png", "A 43265-2021")</f>
        <v/>
      </c>
      <c r="V38">
        <f>HYPERLINK("https://klasma.github.io/Logging_2422/klagomål/A 43265-2021 FSC-klagomål.docx", "A 43265-2021")</f>
        <v/>
      </c>
      <c r="W38">
        <f>HYPERLINK("https://klasma.github.io/Logging_2422/klagomålsmail/A 43265-2021 FSC-klagomål mail.docx", "A 43265-2021")</f>
        <v/>
      </c>
      <c r="X38">
        <f>HYPERLINK("https://klasma.github.io/Logging_2422/tillsyn/A 43265-2021 tillsynsbegäran.docx", "A 43265-2021")</f>
        <v/>
      </c>
      <c r="Y38">
        <f>HYPERLINK("https://klasma.github.io/Logging_2422/tillsynsmail/A 43265-2021 tillsynsbegäran mail.docx", "A 43265-2021")</f>
        <v/>
      </c>
    </row>
    <row r="39" ht="15" customHeight="1">
      <c r="A39" t="inlineStr">
        <is>
          <t>A 24332-2023</t>
        </is>
      </c>
      <c r="B39" s="1" t="n">
        <v>45081</v>
      </c>
      <c r="C39" s="1" t="n">
        <v>46189</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49250-2024</t>
        </is>
      </c>
      <c r="B40" s="1" t="n">
        <v>45595</v>
      </c>
      <c r="C40" s="1" t="n">
        <v>46189</v>
      </c>
      <c r="D40" t="inlineStr">
        <is>
          <t>VÄSTERBOTTENS LÄN</t>
        </is>
      </c>
      <c r="E40" t="inlineStr">
        <is>
          <t>SORSELE</t>
        </is>
      </c>
      <c r="F40" t="inlineStr">
        <is>
          <t>Sveaskog</t>
        </is>
      </c>
      <c r="G40" t="n">
        <v>19.8</v>
      </c>
      <c r="H40" t="n">
        <v>0</v>
      </c>
      <c r="I40" t="n">
        <v>0</v>
      </c>
      <c r="J40" t="n">
        <v>2</v>
      </c>
      <c r="K40" t="n">
        <v>0</v>
      </c>
      <c r="L40" t="n">
        <v>0</v>
      </c>
      <c r="M40" t="n">
        <v>0</v>
      </c>
      <c r="N40" t="n">
        <v>0</v>
      </c>
      <c r="O40" t="n">
        <v>2</v>
      </c>
      <c r="P40" t="n">
        <v>0</v>
      </c>
      <c r="Q40" t="n">
        <v>2</v>
      </c>
      <c r="R40" s="2" t="inlineStr">
        <is>
          <t>Motaggsvamp
Orange taggsvamp</t>
        </is>
      </c>
      <c r="S40">
        <f>HYPERLINK("https://klasma.github.io/Logging_2422/artfynd/A 49250-2024 artfynd.xlsx", "A 49250-2024")</f>
        <v/>
      </c>
      <c r="T40">
        <f>HYPERLINK("https://klasma.github.io/Logging_2422/kartor/A 49250-2024 karta.png", "A 49250-2024")</f>
        <v/>
      </c>
      <c r="V40">
        <f>HYPERLINK("https://klasma.github.io/Logging_2422/klagomål/A 49250-2024 FSC-klagomål.docx", "A 49250-2024")</f>
        <v/>
      </c>
      <c r="W40">
        <f>HYPERLINK("https://klasma.github.io/Logging_2422/klagomålsmail/A 49250-2024 FSC-klagomål mail.docx", "A 49250-2024")</f>
        <v/>
      </c>
      <c r="X40">
        <f>HYPERLINK("https://klasma.github.io/Logging_2422/tillsyn/A 49250-2024 tillsynsbegäran.docx", "A 49250-2024")</f>
        <v/>
      </c>
      <c r="Y40">
        <f>HYPERLINK("https://klasma.github.io/Logging_2422/tillsynsmail/A 49250-2024 tillsynsbegäran mail.docx", "A 49250-2024")</f>
        <v/>
      </c>
    </row>
    <row r="41" ht="15" customHeight="1">
      <c r="A41" t="inlineStr">
        <is>
          <t>A 45569-2022</t>
        </is>
      </c>
      <c r="B41" s="1" t="n">
        <v>44841</v>
      </c>
      <c r="C41" s="1" t="n">
        <v>46189</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32813-2022</t>
        </is>
      </c>
      <c r="B42" s="1" t="n">
        <v>44784</v>
      </c>
      <c r="C42" s="1" t="n">
        <v>46189</v>
      </c>
      <c r="D42" t="inlineStr">
        <is>
          <t>VÄSTERBOTTENS LÄN</t>
        </is>
      </c>
      <c r="E42" t="inlineStr">
        <is>
          <t>SORSELE</t>
        </is>
      </c>
      <c r="F42" t="inlineStr">
        <is>
          <t>Sveaskog</t>
        </is>
      </c>
      <c r="G42" t="n">
        <v>2.9</v>
      </c>
      <c r="H42" t="n">
        <v>0</v>
      </c>
      <c r="I42" t="n">
        <v>0</v>
      </c>
      <c r="J42" t="n">
        <v>1</v>
      </c>
      <c r="K42" t="n">
        <v>0</v>
      </c>
      <c r="L42" t="n">
        <v>0</v>
      </c>
      <c r="M42" t="n">
        <v>0</v>
      </c>
      <c r="N42" t="n">
        <v>0</v>
      </c>
      <c r="O42" t="n">
        <v>1</v>
      </c>
      <c r="P42" t="n">
        <v>0</v>
      </c>
      <c r="Q42" t="n">
        <v>1</v>
      </c>
      <c r="R42" s="2" t="inlineStr">
        <is>
          <t>Granticka</t>
        </is>
      </c>
      <c r="S42">
        <f>HYPERLINK("https://klasma.github.io/Logging_2422/artfynd/A 32813-2022 artfynd.xlsx", "A 32813-2022")</f>
        <v/>
      </c>
      <c r="T42">
        <f>HYPERLINK("https://klasma.github.io/Logging_2422/kartor/A 32813-2022 karta.png", "A 32813-2022")</f>
        <v/>
      </c>
      <c r="V42">
        <f>HYPERLINK("https://klasma.github.io/Logging_2422/klagomål/A 32813-2022 FSC-klagomål.docx", "A 32813-2022")</f>
        <v/>
      </c>
      <c r="W42">
        <f>HYPERLINK("https://klasma.github.io/Logging_2422/klagomålsmail/A 32813-2022 FSC-klagomål mail.docx", "A 32813-2022")</f>
        <v/>
      </c>
      <c r="X42">
        <f>HYPERLINK("https://klasma.github.io/Logging_2422/tillsyn/A 32813-2022 tillsynsbegäran.docx", "A 32813-2022")</f>
        <v/>
      </c>
      <c r="Y42">
        <f>HYPERLINK("https://klasma.github.io/Logging_2422/tillsynsmail/A 32813-2022 tillsynsbegäran mail.docx", "A 32813-2022")</f>
        <v/>
      </c>
    </row>
    <row r="43" ht="15" customHeight="1">
      <c r="A43" t="inlineStr">
        <is>
          <t>A 45511-2021</t>
        </is>
      </c>
      <c r="B43" s="1" t="n">
        <v>44440</v>
      </c>
      <c r="C43" s="1" t="n">
        <v>46189</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14161-2023</t>
        </is>
      </c>
      <c r="B44" s="1" t="n">
        <v>45008</v>
      </c>
      <c r="C44" s="1" t="n">
        <v>46189</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 (aggregat)</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23232-2022</t>
        </is>
      </c>
      <c r="B45" s="1" t="n">
        <v>44719</v>
      </c>
      <c r="C45" s="1" t="n">
        <v>46189</v>
      </c>
      <c r="D45" t="inlineStr">
        <is>
          <t>VÄSTERBOTTENS LÄN</t>
        </is>
      </c>
      <c r="E45" t="inlineStr">
        <is>
          <t>SORSELE</t>
        </is>
      </c>
      <c r="G45" t="n">
        <v>11.5</v>
      </c>
      <c r="H45" t="n">
        <v>1</v>
      </c>
      <c r="I45" t="n">
        <v>0</v>
      </c>
      <c r="J45" t="n">
        <v>1</v>
      </c>
      <c r="K45" t="n">
        <v>0</v>
      </c>
      <c r="L45" t="n">
        <v>0</v>
      </c>
      <c r="M45" t="n">
        <v>0</v>
      </c>
      <c r="N45" t="n">
        <v>0</v>
      </c>
      <c r="O45" t="n">
        <v>1</v>
      </c>
      <c r="P45" t="n">
        <v>0</v>
      </c>
      <c r="Q45" t="n">
        <v>1</v>
      </c>
      <c r="R45" s="2" t="inlineStr">
        <is>
          <t>Tretåig hackspett</t>
        </is>
      </c>
      <c r="S45">
        <f>HYPERLINK("https://klasma.github.io/Logging_2422/artfynd/A 23232-2022 artfynd.xlsx", "A 23232-2022")</f>
        <v/>
      </c>
      <c r="T45">
        <f>HYPERLINK("https://klasma.github.io/Logging_2422/kartor/A 23232-2022 karta.png", "A 23232-2022")</f>
        <v/>
      </c>
      <c r="V45">
        <f>HYPERLINK("https://klasma.github.io/Logging_2422/klagomål/A 23232-2022 FSC-klagomål.docx", "A 23232-2022")</f>
        <v/>
      </c>
      <c r="W45">
        <f>HYPERLINK("https://klasma.github.io/Logging_2422/klagomålsmail/A 23232-2022 FSC-klagomål mail.docx", "A 23232-2022")</f>
        <v/>
      </c>
      <c r="X45">
        <f>HYPERLINK("https://klasma.github.io/Logging_2422/tillsyn/A 23232-2022 tillsynsbegäran.docx", "A 23232-2022")</f>
        <v/>
      </c>
      <c r="Y45">
        <f>HYPERLINK("https://klasma.github.io/Logging_2422/tillsynsmail/A 23232-2022 tillsynsbegäran mail.docx", "A 23232-2022")</f>
        <v/>
      </c>
      <c r="Z45">
        <f>HYPERLINK("https://klasma.github.io/Logging_2422/fåglar/A 23232-2022 prioriterade fågelarter.docx", "A 23232-2022")</f>
        <v/>
      </c>
    </row>
    <row r="46" ht="15" customHeight="1">
      <c r="A46" t="inlineStr">
        <is>
          <t>A 37745-2023</t>
        </is>
      </c>
      <c r="B46" s="1" t="n">
        <v>45156</v>
      </c>
      <c r="C46" s="1" t="n">
        <v>46189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13727-2022</t>
        </is>
      </c>
      <c r="B47" s="1" t="n">
        <v>44648</v>
      </c>
      <c r="C47" s="1" t="n">
        <v>46189</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23330-2023</t>
        </is>
      </c>
      <c r="B48" s="1" t="n">
        <v>45071</v>
      </c>
      <c r="C48" s="1" t="n">
        <v>46189</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45473-2025</t>
        </is>
      </c>
      <c r="B49" s="1" t="n">
        <v>45922.51494212963</v>
      </c>
      <c r="C49" s="1" t="n">
        <v>46189</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48989-2025</t>
        </is>
      </c>
      <c r="B50" s="1" t="n">
        <v>45937</v>
      </c>
      <c r="C50" s="1" t="n">
        <v>46189</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64134-2023</t>
        </is>
      </c>
      <c r="B51" s="1" t="n">
        <v>45279</v>
      </c>
      <c r="C51" s="1" t="n">
        <v>46189</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30626-2021</t>
        </is>
      </c>
      <c r="B52" s="1" t="n">
        <v>44364</v>
      </c>
      <c r="C52" s="1" t="n">
        <v>46189</v>
      </c>
      <c r="D52" t="inlineStr">
        <is>
          <t>VÄSTERBOTTENS LÄN</t>
        </is>
      </c>
      <c r="E52" t="inlineStr">
        <is>
          <t>SORSELE</t>
        </is>
      </c>
      <c r="G52" t="n">
        <v>6</v>
      </c>
      <c r="H52" t="n">
        <v>0</v>
      </c>
      <c r="I52" t="n">
        <v>0</v>
      </c>
      <c r="J52" t="n">
        <v>0</v>
      </c>
      <c r="K52" t="n">
        <v>0</v>
      </c>
      <c r="L52" t="n">
        <v>0</v>
      </c>
      <c r="M52" t="n">
        <v>0</v>
      </c>
      <c r="N52" t="n">
        <v>0</v>
      </c>
      <c r="O52" t="n">
        <v>0</v>
      </c>
      <c r="P52" t="n">
        <v>0</v>
      </c>
      <c r="Q52" t="n">
        <v>0</v>
      </c>
      <c r="R52" s="2" t="inlineStr"/>
    </row>
    <row r="53" ht="15" customHeight="1">
      <c r="A53" t="inlineStr">
        <is>
          <t>A 70177-2021</t>
        </is>
      </c>
      <c r="B53" s="1" t="n">
        <v>44533</v>
      </c>
      <c r="C53" s="1" t="n">
        <v>46189</v>
      </c>
      <c r="D53" t="inlineStr">
        <is>
          <t>VÄSTERBOTTENS LÄN</t>
        </is>
      </c>
      <c r="E53" t="inlineStr">
        <is>
          <t>SORSELE</t>
        </is>
      </c>
      <c r="G53" t="n">
        <v>2.6</v>
      </c>
      <c r="H53" t="n">
        <v>0</v>
      </c>
      <c r="I53" t="n">
        <v>0</v>
      </c>
      <c r="J53" t="n">
        <v>0</v>
      </c>
      <c r="K53" t="n">
        <v>0</v>
      </c>
      <c r="L53" t="n">
        <v>0</v>
      </c>
      <c r="M53" t="n">
        <v>0</v>
      </c>
      <c r="N53" t="n">
        <v>0</v>
      </c>
      <c r="O53" t="n">
        <v>0</v>
      </c>
      <c r="P53" t="n">
        <v>0</v>
      </c>
      <c r="Q53" t="n">
        <v>0</v>
      </c>
      <c r="R53" s="2" t="inlineStr"/>
    </row>
    <row r="54" ht="15" customHeight="1">
      <c r="A54" t="inlineStr">
        <is>
          <t>A 8030-2022</t>
        </is>
      </c>
      <c r="B54" s="1" t="n">
        <v>44606</v>
      </c>
      <c r="C54" s="1" t="n">
        <v>46189</v>
      </c>
      <c r="D54" t="inlineStr">
        <is>
          <t>VÄSTERBOTTENS LÄN</t>
        </is>
      </c>
      <c r="E54" t="inlineStr">
        <is>
          <t>SORSELE</t>
        </is>
      </c>
      <c r="G54" t="n">
        <v>116.5</v>
      </c>
      <c r="H54" t="n">
        <v>0</v>
      </c>
      <c r="I54" t="n">
        <v>0</v>
      </c>
      <c r="J54" t="n">
        <v>0</v>
      </c>
      <c r="K54" t="n">
        <v>0</v>
      </c>
      <c r="L54" t="n">
        <v>0</v>
      </c>
      <c r="M54" t="n">
        <v>0</v>
      </c>
      <c r="N54" t="n">
        <v>0</v>
      </c>
      <c r="O54" t="n">
        <v>0</v>
      </c>
      <c r="P54" t="n">
        <v>0</v>
      </c>
      <c r="Q54" t="n">
        <v>0</v>
      </c>
      <c r="R54" s="2" t="inlineStr"/>
    </row>
    <row r="55" ht="15" customHeight="1">
      <c r="A55" t="inlineStr">
        <is>
          <t>A 33395-2021</t>
        </is>
      </c>
      <c r="B55" s="1" t="n">
        <v>44377</v>
      </c>
      <c r="C55" s="1" t="n">
        <v>46189</v>
      </c>
      <c r="D55" t="inlineStr">
        <is>
          <t>VÄSTERBOTTENS LÄN</t>
        </is>
      </c>
      <c r="E55" t="inlineStr">
        <is>
          <t>SORSELE</t>
        </is>
      </c>
      <c r="G55" t="n">
        <v>20</v>
      </c>
      <c r="H55" t="n">
        <v>0</v>
      </c>
      <c r="I55" t="n">
        <v>0</v>
      </c>
      <c r="J55" t="n">
        <v>0</v>
      </c>
      <c r="K55" t="n">
        <v>0</v>
      </c>
      <c r="L55" t="n">
        <v>0</v>
      </c>
      <c r="M55" t="n">
        <v>0</v>
      </c>
      <c r="N55" t="n">
        <v>0</v>
      </c>
      <c r="O55" t="n">
        <v>0</v>
      </c>
      <c r="P55" t="n">
        <v>0</v>
      </c>
      <c r="Q55" t="n">
        <v>0</v>
      </c>
      <c r="R55" s="2" t="inlineStr"/>
    </row>
    <row r="56" ht="15" customHeight="1">
      <c r="A56" t="inlineStr">
        <is>
          <t>A 73427-2021</t>
        </is>
      </c>
      <c r="B56" s="1" t="n">
        <v>44550</v>
      </c>
      <c r="C56" s="1" t="n">
        <v>46189</v>
      </c>
      <c r="D56" t="inlineStr">
        <is>
          <t>VÄSTERBOTTENS LÄN</t>
        </is>
      </c>
      <c r="E56" t="inlineStr">
        <is>
          <t>SORSELE</t>
        </is>
      </c>
      <c r="G56" t="n">
        <v>2.9</v>
      </c>
      <c r="H56" t="n">
        <v>0</v>
      </c>
      <c r="I56" t="n">
        <v>0</v>
      </c>
      <c r="J56" t="n">
        <v>0</v>
      </c>
      <c r="K56" t="n">
        <v>0</v>
      </c>
      <c r="L56" t="n">
        <v>0</v>
      </c>
      <c r="M56" t="n">
        <v>0</v>
      </c>
      <c r="N56" t="n">
        <v>0</v>
      </c>
      <c r="O56" t="n">
        <v>0</v>
      </c>
      <c r="P56" t="n">
        <v>0</v>
      </c>
      <c r="Q56" t="n">
        <v>0</v>
      </c>
      <c r="R56" s="2" t="inlineStr"/>
    </row>
    <row r="57" ht="15" customHeight="1">
      <c r="A57" t="inlineStr">
        <is>
          <t>A 33234-2021</t>
        </is>
      </c>
      <c r="B57" s="1" t="n">
        <v>44376</v>
      </c>
      <c r="C57" s="1" t="n">
        <v>46189</v>
      </c>
      <c r="D57" t="inlineStr">
        <is>
          <t>VÄSTERBOTTENS LÄN</t>
        </is>
      </c>
      <c r="E57" t="inlineStr">
        <is>
          <t>SORSELE</t>
        </is>
      </c>
      <c r="G57" t="n">
        <v>5.6</v>
      </c>
      <c r="H57" t="n">
        <v>0</v>
      </c>
      <c r="I57" t="n">
        <v>0</v>
      </c>
      <c r="J57" t="n">
        <v>0</v>
      </c>
      <c r="K57" t="n">
        <v>0</v>
      </c>
      <c r="L57" t="n">
        <v>0</v>
      </c>
      <c r="M57" t="n">
        <v>0</v>
      </c>
      <c r="N57" t="n">
        <v>0</v>
      </c>
      <c r="O57" t="n">
        <v>0</v>
      </c>
      <c r="P57" t="n">
        <v>0</v>
      </c>
      <c r="Q57" t="n">
        <v>0</v>
      </c>
      <c r="R57" s="2" t="inlineStr"/>
    </row>
    <row r="58" ht="15" customHeight="1">
      <c r="A58" t="inlineStr">
        <is>
          <t>A 8030-2022</t>
        </is>
      </c>
      <c r="B58" s="1" t="n">
        <v>44606</v>
      </c>
      <c r="C58" s="1" t="n">
        <v>46189</v>
      </c>
      <c r="D58" t="inlineStr">
        <is>
          <t>VÄSTERBOTTENS LÄN</t>
        </is>
      </c>
      <c r="E58" t="inlineStr">
        <is>
          <t>SORSELE</t>
        </is>
      </c>
      <c r="F58" t="inlineStr">
        <is>
          <t>Övriga statliga verk och myndigheter</t>
        </is>
      </c>
      <c r="G58" t="n">
        <v>0.4</v>
      </c>
      <c r="H58" t="n">
        <v>0</v>
      </c>
      <c r="I58" t="n">
        <v>0</v>
      </c>
      <c r="J58" t="n">
        <v>0</v>
      </c>
      <c r="K58" t="n">
        <v>0</v>
      </c>
      <c r="L58" t="n">
        <v>0</v>
      </c>
      <c r="M58" t="n">
        <v>0</v>
      </c>
      <c r="N58" t="n">
        <v>0</v>
      </c>
      <c r="O58" t="n">
        <v>0</v>
      </c>
      <c r="P58" t="n">
        <v>0</v>
      </c>
      <c r="Q58" t="n">
        <v>0</v>
      </c>
      <c r="R58" s="2" t="inlineStr"/>
    </row>
    <row r="59" ht="15" customHeight="1">
      <c r="A59" t="inlineStr">
        <is>
          <t>A 62038-2021</t>
        </is>
      </c>
      <c r="B59" s="1" t="n">
        <v>44501</v>
      </c>
      <c r="C59" s="1" t="n">
        <v>46189</v>
      </c>
      <c r="D59" t="inlineStr">
        <is>
          <t>VÄSTERBOTTENS LÄN</t>
        </is>
      </c>
      <c r="E59" t="inlineStr">
        <is>
          <t>SORSELE</t>
        </is>
      </c>
      <c r="G59" t="n">
        <v>0.8</v>
      </c>
      <c r="H59" t="n">
        <v>0</v>
      </c>
      <c r="I59" t="n">
        <v>0</v>
      </c>
      <c r="J59" t="n">
        <v>0</v>
      </c>
      <c r="K59" t="n">
        <v>0</v>
      </c>
      <c r="L59" t="n">
        <v>0</v>
      </c>
      <c r="M59" t="n">
        <v>0</v>
      </c>
      <c r="N59" t="n">
        <v>0</v>
      </c>
      <c r="O59" t="n">
        <v>0</v>
      </c>
      <c r="P59" t="n">
        <v>0</v>
      </c>
      <c r="Q59" t="n">
        <v>0</v>
      </c>
      <c r="R59" s="2" t="inlineStr"/>
    </row>
    <row r="60" ht="15" customHeight="1">
      <c r="A60" t="inlineStr">
        <is>
          <t>A 30413-2021</t>
        </is>
      </c>
      <c r="B60" s="1" t="n">
        <v>44364</v>
      </c>
      <c r="C60" s="1" t="n">
        <v>46189</v>
      </c>
      <c r="D60" t="inlineStr">
        <is>
          <t>VÄSTERBOTTENS LÄN</t>
        </is>
      </c>
      <c r="E60" t="inlineStr">
        <is>
          <t>SORSELE</t>
        </is>
      </c>
      <c r="G60" t="n">
        <v>8</v>
      </c>
      <c r="H60" t="n">
        <v>0</v>
      </c>
      <c r="I60" t="n">
        <v>0</v>
      </c>
      <c r="J60" t="n">
        <v>0</v>
      </c>
      <c r="K60" t="n">
        <v>0</v>
      </c>
      <c r="L60" t="n">
        <v>0</v>
      </c>
      <c r="M60" t="n">
        <v>0</v>
      </c>
      <c r="N60" t="n">
        <v>0</v>
      </c>
      <c r="O60" t="n">
        <v>0</v>
      </c>
      <c r="P60" t="n">
        <v>0</v>
      </c>
      <c r="Q60" t="n">
        <v>0</v>
      </c>
      <c r="R60" s="2" t="inlineStr"/>
    </row>
    <row r="61" ht="15" customHeight="1">
      <c r="A61" t="inlineStr">
        <is>
          <t>A 18751-2023</t>
        </is>
      </c>
      <c r="B61" s="1" t="n">
        <v>45043</v>
      </c>
      <c r="C61" s="1" t="n">
        <v>46189</v>
      </c>
      <c r="D61" t="inlineStr">
        <is>
          <t>VÄSTERBOTTENS LÄN</t>
        </is>
      </c>
      <c r="E61" t="inlineStr">
        <is>
          <t>SORSELE</t>
        </is>
      </c>
      <c r="G61" t="n">
        <v>5.7</v>
      </c>
      <c r="H61" t="n">
        <v>0</v>
      </c>
      <c r="I61" t="n">
        <v>0</v>
      </c>
      <c r="J61" t="n">
        <v>0</v>
      </c>
      <c r="K61" t="n">
        <v>0</v>
      </c>
      <c r="L61" t="n">
        <v>0</v>
      </c>
      <c r="M61" t="n">
        <v>0</v>
      </c>
      <c r="N61" t="n">
        <v>0</v>
      </c>
      <c r="O61" t="n">
        <v>0</v>
      </c>
      <c r="P61" t="n">
        <v>0</v>
      </c>
      <c r="Q61" t="n">
        <v>0</v>
      </c>
      <c r="R61" s="2" t="inlineStr"/>
    </row>
    <row r="62" ht="15" customHeight="1">
      <c r="A62" t="inlineStr">
        <is>
          <t>A 43317-2022</t>
        </is>
      </c>
      <c r="B62" s="1" t="n">
        <v>44834</v>
      </c>
      <c r="C62" s="1" t="n">
        <v>46189</v>
      </c>
      <c r="D62" t="inlineStr">
        <is>
          <t>VÄSTERBOTTENS LÄN</t>
        </is>
      </c>
      <c r="E62" t="inlineStr">
        <is>
          <t>SORSELE</t>
        </is>
      </c>
      <c r="G62" t="n">
        <v>0.5</v>
      </c>
      <c r="H62" t="n">
        <v>0</v>
      </c>
      <c r="I62" t="n">
        <v>0</v>
      </c>
      <c r="J62" t="n">
        <v>0</v>
      </c>
      <c r="K62" t="n">
        <v>0</v>
      </c>
      <c r="L62" t="n">
        <v>0</v>
      </c>
      <c r="M62" t="n">
        <v>0</v>
      </c>
      <c r="N62" t="n">
        <v>0</v>
      </c>
      <c r="O62" t="n">
        <v>0</v>
      </c>
      <c r="P62" t="n">
        <v>0</v>
      </c>
      <c r="Q62" t="n">
        <v>0</v>
      </c>
      <c r="R62" s="2" t="inlineStr"/>
    </row>
    <row r="63" ht="15" customHeight="1">
      <c r="A63" t="inlineStr">
        <is>
          <t>A 1013-2023</t>
        </is>
      </c>
      <c r="B63" s="1" t="n">
        <v>44935.45384259259</v>
      </c>
      <c r="C63" s="1" t="n">
        <v>46189</v>
      </c>
      <c r="D63" t="inlineStr">
        <is>
          <t>VÄSTERBOTTENS LÄN</t>
        </is>
      </c>
      <c r="E63" t="inlineStr">
        <is>
          <t>SORSELE</t>
        </is>
      </c>
      <c r="G63" t="n">
        <v>5.2</v>
      </c>
      <c r="H63" t="n">
        <v>0</v>
      </c>
      <c r="I63" t="n">
        <v>0</v>
      </c>
      <c r="J63" t="n">
        <v>0</v>
      </c>
      <c r="K63" t="n">
        <v>0</v>
      </c>
      <c r="L63" t="n">
        <v>0</v>
      </c>
      <c r="M63" t="n">
        <v>0</v>
      </c>
      <c r="N63" t="n">
        <v>0</v>
      </c>
      <c r="O63" t="n">
        <v>0</v>
      </c>
      <c r="P63" t="n">
        <v>0</v>
      </c>
      <c r="Q63" t="n">
        <v>0</v>
      </c>
      <c r="R63" s="2" t="inlineStr"/>
    </row>
    <row r="64" ht="15" customHeight="1">
      <c r="A64" t="inlineStr">
        <is>
          <t>A 15235-2024</t>
        </is>
      </c>
      <c r="B64" s="1" t="n">
        <v>45400</v>
      </c>
      <c r="C64" s="1" t="n">
        <v>46189</v>
      </c>
      <c r="D64" t="inlineStr">
        <is>
          <t>VÄSTERBOTTENS LÄN</t>
        </is>
      </c>
      <c r="E64" t="inlineStr">
        <is>
          <t>SORSELE</t>
        </is>
      </c>
      <c r="G64" t="n">
        <v>6.6</v>
      </c>
      <c r="H64" t="n">
        <v>0</v>
      </c>
      <c r="I64" t="n">
        <v>0</v>
      </c>
      <c r="J64" t="n">
        <v>0</v>
      </c>
      <c r="K64" t="n">
        <v>0</v>
      </c>
      <c r="L64" t="n">
        <v>0</v>
      </c>
      <c r="M64" t="n">
        <v>0</v>
      </c>
      <c r="N64" t="n">
        <v>0</v>
      </c>
      <c r="O64" t="n">
        <v>0</v>
      </c>
      <c r="P64" t="n">
        <v>0</v>
      </c>
      <c r="Q64" t="n">
        <v>0</v>
      </c>
      <c r="R64" s="2" t="inlineStr"/>
    </row>
    <row r="65" ht="15" customHeight="1">
      <c r="A65" t="inlineStr">
        <is>
          <t>A 15607-2025</t>
        </is>
      </c>
      <c r="B65" s="1" t="n">
        <v>45747</v>
      </c>
      <c r="C65" s="1" t="n">
        <v>46189</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4944-2023</t>
        </is>
      </c>
      <c r="B66" s="1" t="n">
        <v>44958</v>
      </c>
      <c r="C66" s="1" t="n">
        <v>46189</v>
      </c>
      <c r="D66" t="inlineStr">
        <is>
          <t>VÄSTERBOTTENS LÄN</t>
        </is>
      </c>
      <c r="E66" t="inlineStr">
        <is>
          <t>SORSELE</t>
        </is>
      </c>
      <c r="G66" t="n">
        <v>29.8</v>
      </c>
      <c r="H66" t="n">
        <v>0</v>
      </c>
      <c r="I66" t="n">
        <v>0</v>
      </c>
      <c r="J66" t="n">
        <v>0</v>
      </c>
      <c r="K66" t="n">
        <v>0</v>
      </c>
      <c r="L66" t="n">
        <v>0</v>
      </c>
      <c r="M66" t="n">
        <v>0</v>
      </c>
      <c r="N66" t="n">
        <v>0</v>
      </c>
      <c r="O66" t="n">
        <v>0</v>
      </c>
      <c r="P66" t="n">
        <v>0</v>
      </c>
      <c r="Q66" t="n">
        <v>0</v>
      </c>
      <c r="R66" s="2" t="inlineStr"/>
    </row>
    <row r="67" ht="15" customHeight="1">
      <c r="A67" t="inlineStr">
        <is>
          <t>A 15183-2024</t>
        </is>
      </c>
      <c r="B67" s="1" t="n">
        <v>45400</v>
      </c>
      <c r="C67" s="1" t="n">
        <v>46189</v>
      </c>
      <c r="D67" t="inlineStr">
        <is>
          <t>VÄSTERBOTTENS LÄN</t>
        </is>
      </c>
      <c r="E67" t="inlineStr">
        <is>
          <t>SORSELE</t>
        </is>
      </c>
      <c r="G67" t="n">
        <v>3</v>
      </c>
      <c r="H67" t="n">
        <v>0</v>
      </c>
      <c r="I67" t="n">
        <v>0</v>
      </c>
      <c r="J67" t="n">
        <v>0</v>
      </c>
      <c r="K67" t="n">
        <v>0</v>
      </c>
      <c r="L67" t="n">
        <v>0</v>
      </c>
      <c r="M67" t="n">
        <v>0</v>
      </c>
      <c r="N67" t="n">
        <v>0</v>
      </c>
      <c r="O67" t="n">
        <v>0</v>
      </c>
      <c r="P67" t="n">
        <v>0</v>
      </c>
      <c r="Q67" t="n">
        <v>0</v>
      </c>
      <c r="R67" s="2" t="inlineStr"/>
    </row>
    <row r="68" ht="15" customHeight="1">
      <c r="A68" t="inlineStr">
        <is>
          <t>A 33636-2024</t>
        </is>
      </c>
      <c r="B68" s="1" t="n">
        <v>45520.43614583334</v>
      </c>
      <c r="C68" s="1" t="n">
        <v>46189</v>
      </c>
      <c r="D68" t="inlineStr">
        <is>
          <t>VÄSTERBOTTENS LÄN</t>
        </is>
      </c>
      <c r="E68" t="inlineStr">
        <is>
          <t>SORSELE</t>
        </is>
      </c>
      <c r="F68" t="inlineStr">
        <is>
          <t>Sveaskog</t>
        </is>
      </c>
      <c r="G68" t="n">
        <v>1.8</v>
      </c>
      <c r="H68" t="n">
        <v>0</v>
      </c>
      <c r="I68" t="n">
        <v>0</v>
      </c>
      <c r="J68" t="n">
        <v>0</v>
      </c>
      <c r="K68" t="n">
        <v>0</v>
      </c>
      <c r="L68" t="n">
        <v>0</v>
      </c>
      <c r="M68" t="n">
        <v>0</v>
      </c>
      <c r="N68" t="n">
        <v>0</v>
      </c>
      <c r="O68" t="n">
        <v>0</v>
      </c>
      <c r="P68" t="n">
        <v>0</v>
      </c>
      <c r="Q68" t="n">
        <v>0</v>
      </c>
      <c r="R68" s="2" t="inlineStr"/>
    </row>
    <row r="69" ht="15" customHeight="1">
      <c r="A69" t="inlineStr">
        <is>
          <t>A 30153-2023</t>
        </is>
      </c>
      <c r="B69" s="1" t="n">
        <v>45110</v>
      </c>
      <c r="C69" s="1" t="n">
        <v>46189</v>
      </c>
      <c r="D69" t="inlineStr">
        <is>
          <t>VÄSTERBOTTENS LÄN</t>
        </is>
      </c>
      <c r="E69" t="inlineStr">
        <is>
          <t>SORSELE</t>
        </is>
      </c>
      <c r="F69" t="inlineStr">
        <is>
          <t>Sveaskog</t>
        </is>
      </c>
      <c r="G69" t="n">
        <v>1.3</v>
      </c>
      <c r="H69" t="n">
        <v>0</v>
      </c>
      <c r="I69" t="n">
        <v>0</v>
      </c>
      <c r="J69" t="n">
        <v>0</v>
      </c>
      <c r="K69" t="n">
        <v>0</v>
      </c>
      <c r="L69" t="n">
        <v>0</v>
      </c>
      <c r="M69" t="n">
        <v>0</v>
      </c>
      <c r="N69" t="n">
        <v>0</v>
      </c>
      <c r="O69" t="n">
        <v>0</v>
      </c>
      <c r="P69" t="n">
        <v>0</v>
      </c>
      <c r="Q69" t="n">
        <v>0</v>
      </c>
      <c r="R69" s="2" t="inlineStr"/>
    </row>
    <row r="70" ht="15" customHeight="1">
      <c r="A70" t="inlineStr">
        <is>
          <t>A 58669-2022</t>
        </is>
      </c>
      <c r="B70" s="1" t="n">
        <v>44895</v>
      </c>
      <c r="C70" s="1" t="n">
        <v>46189</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9800-2023</t>
        </is>
      </c>
      <c r="B71" s="1" t="n">
        <v>44978</v>
      </c>
      <c r="C71" s="1" t="n">
        <v>46189</v>
      </c>
      <c r="D71" t="inlineStr">
        <is>
          <t>VÄSTERBOTTENS LÄN</t>
        </is>
      </c>
      <c r="E71" t="inlineStr">
        <is>
          <t>SORSELE</t>
        </is>
      </c>
      <c r="G71" t="n">
        <v>5.8</v>
      </c>
      <c r="H71" t="n">
        <v>0</v>
      </c>
      <c r="I71" t="n">
        <v>0</v>
      </c>
      <c r="J71" t="n">
        <v>0</v>
      </c>
      <c r="K71" t="n">
        <v>0</v>
      </c>
      <c r="L71" t="n">
        <v>0</v>
      </c>
      <c r="M71" t="n">
        <v>0</v>
      </c>
      <c r="N71" t="n">
        <v>0</v>
      </c>
      <c r="O71" t="n">
        <v>0</v>
      </c>
      <c r="P71" t="n">
        <v>0</v>
      </c>
      <c r="Q71" t="n">
        <v>0</v>
      </c>
      <c r="R71" s="2" t="inlineStr"/>
    </row>
    <row r="72" ht="15" customHeight="1">
      <c r="A72" t="inlineStr">
        <is>
          <t>A 30415-2024</t>
        </is>
      </c>
      <c r="B72" s="1" t="n">
        <v>45491.64607638889</v>
      </c>
      <c r="C72" s="1" t="n">
        <v>46189</v>
      </c>
      <c r="D72" t="inlineStr">
        <is>
          <t>VÄSTERBOTTENS LÄN</t>
        </is>
      </c>
      <c r="E72" t="inlineStr">
        <is>
          <t>SORSELE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58671-2024</t>
        </is>
      </c>
      <c r="B73" s="1" t="n">
        <v>45635</v>
      </c>
      <c r="C73" s="1" t="n">
        <v>46189</v>
      </c>
      <c r="D73" t="inlineStr">
        <is>
          <t>VÄSTERBOTTENS LÄN</t>
        </is>
      </c>
      <c r="E73" t="inlineStr">
        <is>
          <t>SORSELE</t>
        </is>
      </c>
      <c r="G73" t="n">
        <v>6.3</v>
      </c>
      <c r="H73" t="n">
        <v>0</v>
      </c>
      <c r="I73" t="n">
        <v>0</v>
      </c>
      <c r="J73" t="n">
        <v>0</v>
      </c>
      <c r="K73" t="n">
        <v>0</v>
      </c>
      <c r="L73" t="n">
        <v>0</v>
      </c>
      <c r="M73" t="n">
        <v>0</v>
      </c>
      <c r="N73" t="n">
        <v>0</v>
      </c>
      <c r="O73" t="n">
        <v>0</v>
      </c>
      <c r="P73" t="n">
        <v>0</v>
      </c>
      <c r="Q73" t="n">
        <v>0</v>
      </c>
      <c r="R73" s="2" t="inlineStr"/>
    </row>
    <row r="74" ht="15" customHeight="1">
      <c r="A74" t="inlineStr">
        <is>
          <t>A 64384-2023</t>
        </is>
      </c>
      <c r="B74" s="1" t="n">
        <v>45280</v>
      </c>
      <c r="C74" s="1" t="n">
        <v>46189</v>
      </c>
      <c r="D74" t="inlineStr">
        <is>
          <t>VÄSTERBOTTENS LÄN</t>
        </is>
      </c>
      <c r="E74" t="inlineStr">
        <is>
          <t>SORSELE</t>
        </is>
      </c>
      <c r="G74" t="n">
        <v>30.3</v>
      </c>
      <c r="H74" t="n">
        <v>0</v>
      </c>
      <c r="I74" t="n">
        <v>0</v>
      </c>
      <c r="J74" t="n">
        <v>0</v>
      </c>
      <c r="K74" t="n">
        <v>0</v>
      </c>
      <c r="L74" t="n">
        <v>0</v>
      </c>
      <c r="M74" t="n">
        <v>0</v>
      </c>
      <c r="N74" t="n">
        <v>0</v>
      </c>
      <c r="O74" t="n">
        <v>0</v>
      </c>
      <c r="P74" t="n">
        <v>0</v>
      </c>
      <c r="Q74" t="n">
        <v>0</v>
      </c>
      <c r="R74" s="2" t="inlineStr"/>
    </row>
    <row r="75" ht="15" customHeight="1">
      <c r="A75" t="inlineStr">
        <is>
          <t>A 61554-2022</t>
        </is>
      </c>
      <c r="B75" s="1" t="n">
        <v>44916</v>
      </c>
      <c r="C75" s="1" t="n">
        <v>46189</v>
      </c>
      <c r="D75" t="inlineStr">
        <is>
          <t>VÄSTERBOTTENS LÄN</t>
        </is>
      </c>
      <c r="E75" t="inlineStr">
        <is>
          <t>SORSELE</t>
        </is>
      </c>
      <c r="F75" t="inlineStr">
        <is>
          <t>Sveaskog</t>
        </is>
      </c>
      <c r="G75" t="n">
        <v>32.6</v>
      </c>
      <c r="H75" t="n">
        <v>0</v>
      </c>
      <c r="I75" t="n">
        <v>0</v>
      </c>
      <c r="J75" t="n">
        <v>0</v>
      </c>
      <c r="K75" t="n">
        <v>0</v>
      </c>
      <c r="L75" t="n">
        <v>0</v>
      </c>
      <c r="M75" t="n">
        <v>0</v>
      </c>
      <c r="N75" t="n">
        <v>0</v>
      </c>
      <c r="O75" t="n">
        <v>0</v>
      </c>
      <c r="P75" t="n">
        <v>0</v>
      </c>
      <c r="Q75" t="n">
        <v>0</v>
      </c>
      <c r="R75" s="2" t="inlineStr"/>
    </row>
    <row r="76" ht="15" customHeight="1">
      <c r="A76" t="inlineStr">
        <is>
          <t>A 60892-2022</t>
        </is>
      </c>
      <c r="B76" s="1" t="n">
        <v>44908</v>
      </c>
      <c r="C76" s="1" t="n">
        <v>46189</v>
      </c>
      <c r="D76" t="inlineStr">
        <is>
          <t>VÄSTERBOTTENS LÄN</t>
        </is>
      </c>
      <c r="E76" t="inlineStr">
        <is>
          <t>SORSELE</t>
        </is>
      </c>
      <c r="G76" t="n">
        <v>4.9</v>
      </c>
      <c r="H76" t="n">
        <v>0</v>
      </c>
      <c r="I76" t="n">
        <v>0</v>
      </c>
      <c r="J76" t="n">
        <v>0</v>
      </c>
      <c r="K76" t="n">
        <v>0</v>
      </c>
      <c r="L76" t="n">
        <v>0</v>
      </c>
      <c r="M76" t="n">
        <v>0</v>
      </c>
      <c r="N76" t="n">
        <v>0</v>
      </c>
      <c r="O76" t="n">
        <v>0</v>
      </c>
      <c r="P76" t="n">
        <v>0</v>
      </c>
      <c r="Q76" t="n">
        <v>0</v>
      </c>
      <c r="R76" s="2" t="inlineStr"/>
    </row>
    <row r="77" ht="15" customHeight="1">
      <c r="A77" t="inlineStr">
        <is>
          <t>A 47933-2023</t>
        </is>
      </c>
      <c r="B77" s="1" t="n">
        <v>45198</v>
      </c>
      <c r="C77" s="1" t="n">
        <v>46189</v>
      </c>
      <c r="D77" t="inlineStr">
        <is>
          <t>VÄSTERBOTTENS LÄN</t>
        </is>
      </c>
      <c r="E77" t="inlineStr">
        <is>
          <t>SORSELE</t>
        </is>
      </c>
      <c r="G77" t="n">
        <v>125</v>
      </c>
      <c r="H77" t="n">
        <v>0</v>
      </c>
      <c r="I77" t="n">
        <v>0</v>
      </c>
      <c r="J77" t="n">
        <v>0</v>
      </c>
      <c r="K77" t="n">
        <v>0</v>
      </c>
      <c r="L77" t="n">
        <v>0</v>
      </c>
      <c r="M77" t="n">
        <v>0</v>
      </c>
      <c r="N77" t="n">
        <v>0</v>
      </c>
      <c r="O77" t="n">
        <v>0</v>
      </c>
      <c r="P77" t="n">
        <v>0</v>
      </c>
      <c r="Q77" t="n">
        <v>0</v>
      </c>
      <c r="R77" s="2" t="inlineStr"/>
    </row>
    <row r="78" ht="15" customHeight="1">
      <c r="A78" t="inlineStr">
        <is>
          <t>A 60758-2022</t>
        </is>
      </c>
      <c r="B78" s="1" t="n">
        <v>44907</v>
      </c>
      <c r="C78" s="1" t="n">
        <v>46189</v>
      </c>
      <c r="D78" t="inlineStr">
        <is>
          <t>VÄSTERBOTTENS LÄN</t>
        </is>
      </c>
      <c r="E78" t="inlineStr">
        <is>
          <t>SORSELE</t>
        </is>
      </c>
      <c r="G78" t="n">
        <v>9.199999999999999</v>
      </c>
      <c r="H78" t="n">
        <v>0</v>
      </c>
      <c r="I78" t="n">
        <v>0</v>
      </c>
      <c r="J78" t="n">
        <v>0</v>
      </c>
      <c r="K78" t="n">
        <v>0</v>
      </c>
      <c r="L78" t="n">
        <v>0</v>
      </c>
      <c r="M78" t="n">
        <v>0</v>
      </c>
      <c r="N78" t="n">
        <v>0</v>
      </c>
      <c r="O78" t="n">
        <v>0</v>
      </c>
      <c r="P78" t="n">
        <v>0</v>
      </c>
      <c r="Q78" t="n">
        <v>0</v>
      </c>
      <c r="R78" s="2" t="inlineStr"/>
    </row>
    <row r="79" ht="15" customHeight="1">
      <c r="A79" t="inlineStr">
        <is>
          <t>A 20947-2023</t>
        </is>
      </c>
      <c r="B79" s="1" t="n">
        <v>45056</v>
      </c>
      <c r="C79" s="1" t="n">
        <v>46189</v>
      </c>
      <c r="D79" t="inlineStr">
        <is>
          <t>VÄSTERBOTTENS LÄN</t>
        </is>
      </c>
      <c r="E79" t="inlineStr">
        <is>
          <t>SORSELE</t>
        </is>
      </c>
      <c r="G79" t="n">
        <v>5.3</v>
      </c>
      <c r="H79" t="n">
        <v>0</v>
      </c>
      <c r="I79" t="n">
        <v>0</v>
      </c>
      <c r="J79" t="n">
        <v>0</v>
      </c>
      <c r="K79" t="n">
        <v>0</v>
      </c>
      <c r="L79" t="n">
        <v>0</v>
      </c>
      <c r="M79" t="n">
        <v>0</v>
      </c>
      <c r="N79" t="n">
        <v>0</v>
      </c>
      <c r="O79" t="n">
        <v>0</v>
      </c>
      <c r="P79" t="n">
        <v>0</v>
      </c>
      <c r="Q79" t="n">
        <v>0</v>
      </c>
      <c r="R79" s="2" t="inlineStr"/>
    </row>
    <row r="80" ht="15" customHeight="1">
      <c r="A80" t="inlineStr">
        <is>
          <t>A 54769-2021</t>
        </is>
      </c>
      <c r="B80" s="1" t="n">
        <v>44473</v>
      </c>
      <c r="C80" s="1" t="n">
        <v>46189</v>
      </c>
      <c r="D80" t="inlineStr">
        <is>
          <t>VÄSTERBOTTENS LÄN</t>
        </is>
      </c>
      <c r="E80" t="inlineStr">
        <is>
          <t>SORSELE</t>
        </is>
      </c>
      <c r="F80" t="inlineStr">
        <is>
          <t>SCA</t>
        </is>
      </c>
      <c r="G80" t="n">
        <v>15.8</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46189</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47980-2024</t>
        </is>
      </c>
      <c r="B82" s="1" t="n">
        <v>45589</v>
      </c>
      <c r="C82" s="1" t="n">
        <v>46189</v>
      </c>
      <c r="D82" t="inlineStr">
        <is>
          <t>VÄSTERBOTTENS LÄN</t>
        </is>
      </c>
      <c r="E82" t="inlineStr">
        <is>
          <t>SORSELE</t>
        </is>
      </c>
      <c r="G82" t="n">
        <v>1.4</v>
      </c>
      <c r="H82" t="n">
        <v>0</v>
      </c>
      <c r="I82" t="n">
        <v>0</v>
      </c>
      <c r="J82" t="n">
        <v>0</v>
      </c>
      <c r="K82" t="n">
        <v>0</v>
      </c>
      <c r="L82" t="n">
        <v>0</v>
      </c>
      <c r="M82" t="n">
        <v>0</v>
      </c>
      <c r="N82" t="n">
        <v>0</v>
      </c>
      <c r="O82" t="n">
        <v>0</v>
      </c>
      <c r="P82" t="n">
        <v>0</v>
      </c>
      <c r="Q82" t="n">
        <v>0</v>
      </c>
      <c r="R82" s="2" t="inlineStr"/>
    </row>
    <row r="83" ht="15" customHeight="1">
      <c r="A83" t="inlineStr">
        <is>
          <t>A 8508-2025</t>
        </is>
      </c>
      <c r="B83" s="1" t="n">
        <v>45709.53199074074</v>
      </c>
      <c r="C83" s="1" t="n">
        <v>46189</v>
      </c>
      <c r="D83" t="inlineStr">
        <is>
          <t>VÄSTERBOTTENS LÄN</t>
        </is>
      </c>
      <c r="E83" t="inlineStr">
        <is>
          <t>SORSELE</t>
        </is>
      </c>
      <c r="F83" t="inlineStr">
        <is>
          <t>SCA</t>
        </is>
      </c>
      <c r="G83" t="n">
        <v>4.8</v>
      </c>
      <c r="H83" t="n">
        <v>0</v>
      </c>
      <c r="I83" t="n">
        <v>0</v>
      </c>
      <c r="J83" t="n">
        <v>0</v>
      </c>
      <c r="K83" t="n">
        <v>0</v>
      </c>
      <c r="L83" t="n">
        <v>0</v>
      </c>
      <c r="M83" t="n">
        <v>0</v>
      </c>
      <c r="N83" t="n">
        <v>0</v>
      </c>
      <c r="O83" t="n">
        <v>0</v>
      </c>
      <c r="P83" t="n">
        <v>0</v>
      </c>
      <c r="Q83" t="n">
        <v>0</v>
      </c>
      <c r="R83" s="2" t="inlineStr"/>
    </row>
    <row r="84" ht="15" customHeight="1">
      <c r="A84" t="inlineStr">
        <is>
          <t>A 23234-2022</t>
        </is>
      </c>
      <c r="B84" s="1" t="n">
        <v>44719</v>
      </c>
      <c r="C84" s="1" t="n">
        <v>46189</v>
      </c>
      <c r="D84" t="inlineStr">
        <is>
          <t>VÄSTERBOTTENS LÄN</t>
        </is>
      </c>
      <c r="E84" t="inlineStr">
        <is>
          <t>SORSELE</t>
        </is>
      </c>
      <c r="G84" t="n">
        <v>19.3</v>
      </c>
      <c r="H84" t="n">
        <v>0</v>
      </c>
      <c r="I84" t="n">
        <v>0</v>
      </c>
      <c r="J84" t="n">
        <v>0</v>
      </c>
      <c r="K84" t="n">
        <v>0</v>
      </c>
      <c r="L84" t="n">
        <v>0</v>
      </c>
      <c r="M84" t="n">
        <v>0</v>
      </c>
      <c r="N84" t="n">
        <v>0</v>
      </c>
      <c r="O84" t="n">
        <v>0</v>
      </c>
      <c r="P84" t="n">
        <v>0</v>
      </c>
      <c r="Q84" t="n">
        <v>0</v>
      </c>
      <c r="R84" s="2" t="inlineStr"/>
    </row>
    <row r="85" ht="15" customHeight="1">
      <c r="A85" t="inlineStr">
        <is>
          <t>A 19959-2023</t>
        </is>
      </c>
      <c r="B85" s="1" t="n">
        <v>45054</v>
      </c>
      <c r="C85" s="1" t="n">
        <v>46189</v>
      </c>
      <c r="D85" t="inlineStr">
        <is>
          <t>VÄSTERBOTTENS LÄN</t>
        </is>
      </c>
      <c r="E85" t="inlineStr">
        <is>
          <t>SORSELE</t>
        </is>
      </c>
      <c r="F85" t="inlineStr">
        <is>
          <t>Sveaskog</t>
        </is>
      </c>
      <c r="G85" t="n">
        <v>36.9</v>
      </c>
      <c r="H85" t="n">
        <v>0</v>
      </c>
      <c r="I85" t="n">
        <v>0</v>
      </c>
      <c r="J85" t="n">
        <v>0</v>
      </c>
      <c r="K85" t="n">
        <v>0</v>
      </c>
      <c r="L85" t="n">
        <v>0</v>
      </c>
      <c r="M85" t="n">
        <v>0</v>
      </c>
      <c r="N85" t="n">
        <v>0</v>
      </c>
      <c r="O85" t="n">
        <v>0</v>
      </c>
      <c r="P85" t="n">
        <v>0</v>
      </c>
      <c r="Q85" t="n">
        <v>0</v>
      </c>
      <c r="R85" s="2" t="inlineStr"/>
    </row>
    <row r="86" ht="15" customHeight="1">
      <c r="A86" t="inlineStr">
        <is>
          <t>A 8989-2025</t>
        </is>
      </c>
      <c r="B86" s="1" t="n">
        <v>45713.5396412037</v>
      </c>
      <c r="C86" s="1" t="n">
        <v>46189</v>
      </c>
      <c r="D86" t="inlineStr">
        <is>
          <t>VÄSTERBOTTENS LÄN</t>
        </is>
      </c>
      <c r="E86" t="inlineStr">
        <is>
          <t>SORSELE</t>
        </is>
      </c>
      <c r="G86" t="n">
        <v>5.4</v>
      </c>
      <c r="H86" t="n">
        <v>0</v>
      </c>
      <c r="I86" t="n">
        <v>0</v>
      </c>
      <c r="J86" t="n">
        <v>0</v>
      </c>
      <c r="K86" t="n">
        <v>0</v>
      </c>
      <c r="L86" t="n">
        <v>0</v>
      </c>
      <c r="M86" t="n">
        <v>0</v>
      </c>
      <c r="N86" t="n">
        <v>0</v>
      </c>
      <c r="O86" t="n">
        <v>0</v>
      </c>
      <c r="P86" t="n">
        <v>0</v>
      </c>
      <c r="Q86" t="n">
        <v>0</v>
      </c>
      <c r="R86" s="2" t="inlineStr"/>
    </row>
    <row r="87" ht="15" customHeight="1">
      <c r="A87" t="inlineStr">
        <is>
          <t>A 11646-2023</t>
        </is>
      </c>
      <c r="B87" s="1" t="n">
        <v>44992</v>
      </c>
      <c r="C87" s="1" t="n">
        <v>46189</v>
      </c>
      <c r="D87" t="inlineStr">
        <is>
          <t>VÄSTERBOTTENS LÄN</t>
        </is>
      </c>
      <c r="E87" t="inlineStr">
        <is>
          <t>SORSELE</t>
        </is>
      </c>
      <c r="G87" t="n">
        <v>4.3</v>
      </c>
      <c r="H87" t="n">
        <v>0</v>
      </c>
      <c r="I87" t="n">
        <v>0</v>
      </c>
      <c r="J87" t="n">
        <v>0</v>
      </c>
      <c r="K87" t="n">
        <v>0</v>
      </c>
      <c r="L87" t="n">
        <v>0</v>
      </c>
      <c r="M87" t="n">
        <v>0</v>
      </c>
      <c r="N87" t="n">
        <v>0</v>
      </c>
      <c r="O87" t="n">
        <v>0</v>
      </c>
      <c r="P87" t="n">
        <v>0</v>
      </c>
      <c r="Q87" t="n">
        <v>0</v>
      </c>
      <c r="R87" s="2" t="inlineStr"/>
    </row>
    <row r="88" ht="15" customHeight="1">
      <c r="A88" t="inlineStr">
        <is>
          <t>A 60939-2023</t>
        </is>
      </c>
      <c r="B88" s="1" t="n">
        <v>45259</v>
      </c>
      <c r="C88" s="1" t="n">
        <v>46189</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63103-2021</t>
        </is>
      </c>
      <c r="B89" s="1" t="n">
        <v>44505</v>
      </c>
      <c r="C89" s="1" t="n">
        <v>46189</v>
      </c>
      <c r="D89" t="inlineStr">
        <is>
          <t>VÄSTERBOTTENS LÄN</t>
        </is>
      </c>
      <c r="E89" t="inlineStr">
        <is>
          <t>SORSELE</t>
        </is>
      </c>
      <c r="G89" t="n">
        <v>13.9</v>
      </c>
      <c r="H89" t="n">
        <v>0</v>
      </c>
      <c r="I89" t="n">
        <v>0</v>
      </c>
      <c r="J89" t="n">
        <v>0</v>
      </c>
      <c r="K89" t="n">
        <v>0</v>
      </c>
      <c r="L89" t="n">
        <v>0</v>
      </c>
      <c r="M89" t="n">
        <v>0</v>
      </c>
      <c r="N89" t="n">
        <v>0</v>
      </c>
      <c r="O89" t="n">
        <v>0</v>
      </c>
      <c r="P89" t="n">
        <v>0</v>
      </c>
      <c r="Q89" t="n">
        <v>0</v>
      </c>
      <c r="R89" s="2" t="inlineStr"/>
    </row>
    <row r="90" ht="15" customHeight="1">
      <c r="A90" t="inlineStr">
        <is>
          <t>A 56414-2022</t>
        </is>
      </c>
      <c r="B90" s="1" t="n">
        <v>44890</v>
      </c>
      <c r="C90" s="1" t="n">
        <v>46189</v>
      </c>
      <c r="D90" t="inlineStr">
        <is>
          <t>VÄSTERBOTTENS LÄN</t>
        </is>
      </c>
      <c r="E90" t="inlineStr">
        <is>
          <t>SORSELE</t>
        </is>
      </c>
      <c r="F90" t="inlineStr">
        <is>
          <t>SCA</t>
        </is>
      </c>
      <c r="G90" t="n">
        <v>2.3</v>
      </c>
      <c r="H90" t="n">
        <v>0</v>
      </c>
      <c r="I90" t="n">
        <v>0</v>
      </c>
      <c r="J90" t="n">
        <v>0</v>
      </c>
      <c r="K90" t="n">
        <v>0</v>
      </c>
      <c r="L90" t="n">
        <v>0</v>
      </c>
      <c r="M90" t="n">
        <v>0</v>
      </c>
      <c r="N90" t="n">
        <v>0</v>
      </c>
      <c r="O90" t="n">
        <v>0</v>
      </c>
      <c r="P90" t="n">
        <v>0</v>
      </c>
      <c r="Q90" t="n">
        <v>0</v>
      </c>
      <c r="R90" s="2" t="inlineStr"/>
    </row>
    <row r="91" ht="15" customHeight="1">
      <c r="A91" t="inlineStr">
        <is>
          <t>A 9821-2023</t>
        </is>
      </c>
      <c r="B91" s="1" t="n">
        <v>44978</v>
      </c>
      <c r="C91" s="1" t="n">
        <v>46189</v>
      </c>
      <c r="D91" t="inlineStr">
        <is>
          <t>VÄSTERBOTTENS LÄN</t>
        </is>
      </c>
      <c r="E91" t="inlineStr">
        <is>
          <t>SORSELE</t>
        </is>
      </c>
      <c r="G91" t="n">
        <v>3.8</v>
      </c>
      <c r="H91" t="n">
        <v>0</v>
      </c>
      <c r="I91" t="n">
        <v>0</v>
      </c>
      <c r="J91" t="n">
        <v>0</v>
      </c>
      <c r="K91" t="n">
        <v>0</v>
      </c>
      <c r="L91" t="n">
        <v>0</v>
      </c>
      <c r="M91" t="n">
        <v>0</v>
      </c>
      <c r="N91" t="n">
        <v>0</v>
      </c>
      <c r="O91" t="n">
        <v>0</v>
      </c>
      <c r="P91" t="n">
        <v>0</v>
      </c>
      <c r="Q91" t="n">
        <v>0</v>
      </c>
      <c r="R91" s="2" t="inlineStr"/>
    </row>
    <row r="92" ht="15" customHeight="1">
      <c r="A92" t="inlineStr">
        <is>
          <t>A 52507-2024</t>
        </is>
      </c>
      <c r="B92" s="1" t="n">
        <v>45609.59013888889</v>
      </c>
      <c r="C92" s="1" t="n">
        <v>46189</v>
      </c>
      <c r="D92" t="inlineStr">
        <is>
          <t>VÄSTERBOTTENS LÄN</t>
        </is>
      </c>
      <c r="E92" t="inlineStr">
        <is>
          <t>SORSELE</t>
        </is>
      </c>
      <c r="F92" t="inlineStr">
        <is>
          <t>Sveaskog</t>
        </is>
      </c>
      <c r="G92" t="n">
        <v>21.8</v>
      </c>
      <c r="H92" t="n">
        <v>0</v>
      </c>
      <c r="I92" t="n">
        <v>0</v>
      </c>
      <c r="J92" t="n">
        <v>0</v>
      </c>
      <c r="K92" t="n">
        <v>0</v>
      </c>
      <c r="L92" t="n">
        <v>0</v>
      </c>
      <c r="M92" t="n">
        <v>0</v>
      </c>
      <c r="N92" t="n">
        <v>0</v>
      </c>
      <c r="O92" t="n">
        <v>0</v>
      </c>
      <c r="P92" t="n">
        <v>0</v>
      </c>
      <c r="Q92" t="n">
        <v>0</v>
      </c>
      <c r="R92" s="2" t="inlineStr"/>
    </row>
    <row r="93" ht="15" customHeight="1">
      <c r="A93" t="inlineStr">
        <is>
          <t>A 35172-2022</t>
        </is>
      </c>
      <c r="B93" s="1" t="n">
        <v>44797</v>
      </c>
      <c r="C93" s="1" t="n">
        <v>46189</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48924-2024</t>
        </is>
      </c>
      <c r="B94" s="1" t="n">
        <v>45594.37393518518</v>
      </c>
      <c r="C94" s="1" t="n">
        <v>46189</v>
      </c>
      <c r="D94" t="inlineStr">
        <is>
          <t>VÄSTERBOTTENS LÄN</t>
        </is>
      </c>
      <c r="E94" t="inlineStr">
        <is>
          <t>SORSELE</t>
        </is>
      </c>
      <c r="G94" t="n">
        <v>1.8</v>
      </c>
      <c r="H94" t="n">
        <v>0</v>
      </c>
      <c r="I94" t="n">
        <v>0</v>
      </c>
      <c r="J94" t="n">
        <v>0</v>
      </c>
      <c r="K94" t="n">
        <v>0</v>
      </c>
      <c r="L94" t="n">
        <v>0</v>
      </c>
      <c r="M94" t="n">
        <v>0</v>
      </c>
      <c r="N94" t="n">
        <v>0</v>
      </c>
      <c r="O94" t="n">
        <v>0</v>
      </c>
      <c r="P94" t="n">
        <v>0</v>
      </c>
      <c r="Q94" t="n">
        <v>0</v>
      </c>
      <c r="R94" s="2" t="inlineStr"/>
    </row>
    <row r="95" ht="15" customHeight="1">
      <c r="A95" t="inlineStr">
        <is>
          <t>A 13248-2023</t>
        </is>
      </c>
      <c r="B95" s="1" t="n">
        <v>45002</v>
      </c>
      <c r="C95" s="1" t="n">
        <v>46189</v>
      </c>
      <c r="D95" t="inlineStr">
        <is>
          <t>VÄSTERBOTTENS LÄN</t>
        </is>
      </c>
      <c r="E95" t="inlineStr">
        <is>
          <t>SORSELE</t>
        </is>
      </c>
      <c r="G95" t="n">
        <v>7.3</v>
      </c>
      <c r="H95" t="n">
        <v>0</v>
      </c>
      <c r="I95" t="n">
        <v>0</v>
      </c>
      <c r="J95" t="n">
        <v>0</v>
      </c>
      <c r="K95" t="n">
        <v>0</v>
      </c>
      <c r="L95" t="n">
        <v>0</v>
      </c>
      <c r="M95" t="n">
        <v>0</v>
      </c>
      <c r="N95" t="n">
        <v>0</v>
      </c>
      <c r="O95" t="n">
        <v>0</v>
      </c>
      <c r="P95" t="n">
        <v>0</v>
      </c>
      <c r="Q95" t="n">
        <v>0</v>
      </c>
      <c r="R95" s="2" t="inlineStr"/>
    </row>
    <row r="96" ht="15" customHeight="1">
      <c r="A96" t="inlineStr">
        <is>
          <t>A 17323-2024</t>
        </is>
      </c>
      <c r="B96" s="1" t="n">
        <v>45414</v>
      </c>
      <c r="C96" s="1" t="n">
        <v>46189</v>
      </c>
      <c r="D96" t="inlineStr">
        <is>
          <t>VÄSTERBOTTENS LÄN</t>
        </is>
      </c>
      <c r="E96" t="inlineStr">
        <is>
          <t>SORSELE</t>
        </is>
      </c>
      <c r="G96" t="n">
        <v>5.7</v>
      </c>
      <c r="H96" t="n">
        <v>0</v>
      </c>
      <c r="I96" t="n">
        <v>0</v>
      </c>
      <c r="J96" t="n">
        <v>0</v>
      </c>
      <c r="K96" t="n">
        <v>0</v>
      </c>
      <c r="L96" t="n">
        <v>0</v>
      </c>
      <c r="M96" t="n">
        <v>0</v>
      </c>
      <c r="N96" t="n">
        <v>0</v>
      </c>
      <c r="O96" t="n">
        <v>0</v>
      </c>
      <c r="P96" t="n">
        <v>0</v>
      </c>
      <c r="Q96" t="n">
        <v>0</v>
      </c>
      <c r="R96" s="2" t="inlineStr"/>
    </row>
    <row r="97" ht="15" customHeight="1">
      <c r="A97" t="inlineStr">
        <is>
          <t>A 66440-2021</t>
        </is>
      </c>
      <c r="B97" s="1" t="n">
        <v>44518</v>
      </c>
      <c r="C97" s="1" t="n">
        <v>46189</v>
      </c>
      <c r="D97" t="inlineStr">
        <is>
          <t>VÄSTERBOTTENS LÄN</t>
        </is>
      </c>
      <c r="E97" t="inlineStr">
        <is>
          <t>SORSELE</t>
        </is>
      </c>
      <c r="G97" t="n">
        <v>1.6</v>
      </c>
      <c r="H97" t="n">
        <v>0</v>
      </c>
      <c r="I97" t="n">
        <v>0</v>
      </c>
      <c r="J97" t="n">
        <v>0</v>
      </c>
      <c r="K97" t="n">
        <v>0</v>
      </c>
      <c r="L97" t="n">
        <v>0</v>
      </c>
      <c r="M97" t="n">
        <v>0</v>
      </c>
      <c r="N97" t="n">
        <v>0</v>
      </c>
      <c r="O97" t="n">
        <v>0</v>
      </c>
      <c r="P97" t="n">
        <v>0</v>
      </c>
      <c r="Q97" t="n">
        <v>0</v>
      </c>
      <c r="R97" s="2" t="inlineStr"/>
    </row>
    <row r="98" ht="15" customHeight="1">
      <c r="A98" t="inlineStr">
        <is>
          <t>A 12506-2023</t>
        </is>
      </c>
      <c r="B98" s="1" t="n">
        <v>44999</v>
      </c>
      <c r="C98" s="1" t="n">
        <v>46189</v>
      </c>
      <c r="D98" t="inlineStr">
        <is>
          <t>VÄSTERBOTTENS LÄN</t>
        </is>
      </c>
      <c r="E98" t="inlineStr">
        <is>
          <t>SORSELE</t>
        </is>
      </c>
      <c r="G98" t="n">
        <v>0.8</v>
      </c>
      <c r="H98" t="n">
        <v>0</v>
      </c>
      <c r="I98" t="n">
        <v>0</v>
      </c>
      <c r="J98" t="n">
        <v>0</v>
      </c>
      <c r="K98" t="n">
        <v>0</v>
      </c>
      <c r="L98" t="n">
        <v>0</v>
      </c>
      <c r="M98" t="n">
        <v>0</v>
      </c>
      <c r="N98" t="n">
        <v>0</v>
      </c>
      <c r="O98" t="n">
        <v>0</v>
      </c>
      <c r="P98" t="n">
        <v>0</v>
      </c>
      <c r="Q98" t="n">
        <v>0</v>
      </c>
      <c r="R98" s="2" t="inlineStr"/>
    </row>
    <row r="99" ht="15" customHeight="1">
      <c r="A99" t="inlineStr">
        <is>
          <t>A 16623-2023</t>
        </is>
      </c>
      <c r="B99" s="1" t="n">
        <v>45027</v>
      </c>
      <c r="C99" s="1" t="n">
        <v>46189</v>
      </c>
      <c r="D99" t="inlineStr">
        <is>
          <t>VÄSTERBOTTENS LÄN</t>
        </is>
      </c>
      <c r="E99" t="inlineStr">
        <is>
          <t>SORSELE</t>
        </is>
      </c>
      <c r="G99" t="n">
        <v>1.9</v>
      </c>
      <c r="H99" t="n">
        <v>0</v>
      </c>
      <c r="I99" t="n">
        <v>0</v>
      </c>
      <c r="J99" t="n">
        <v>0</v>
      </c>
      <c r="K99" t="n">
        <v>0</v>
      </c>
      <c r="L99" t="n">
        <v>0</v>
      </c>
      <c r="M99" t="n">
        <v>0</v>
      </c>
      <c r="N99" t="n">
        <v>0</v>
      </c>
      <c r="O99" t="n">
        <v>0</v>
      </c>
      <c r="P99" t="n">
        <v>0</v>
      </c>
      <c r="Q99" t="n">
        <v>0</v>
      </c>
      <c r="R99" s="2" t="inlineStr"/>
    </row>
    <row r="100" ht="15" customHeight="1">
      <c r="A100" t="inlineStr">
        <is>
          <t>A 12507-2023</t>
        </is>
      </c>
      <c r="B100" s="1" t="n">
        <v>44999</v>
      </c>
      <c r="C100" s="1" t="n">
        <v>46189</v>
      </c>
      <c r="D100" t="inlineStr">
        <is>
          <t>VÄSTERBOTTENS LÄN</t>
        </is>
      </c>
      <c r="E100" t="inlineStr">
        <is>
          <t>SORSELE</t>
        </is>
      </c>
      <c r="G100" t="n">
        <v>5.6</v>
      </c>
      <c r="H100" t="n">
        <v>0</v>
      </c>
      <c r="I100" t="n">
        <v>0</v>
      </c>
      <c r="J100" t="n">
        <v>0</v>
      </c>
      <c r="K100" t="n">
        <v>0</v>
      </c>
      <c r="L100" t="n">
        <v>0</v>
      </c>
      <c r="M100" t="n">
        <v>0</v>
      </c>
      <c r="N100" t="n">
        <v>0</v>
      </c>
      <c r="O100" t="n">
        <v>0</v>
      </c>
      <c r="P100" t="n">
        <v>0</v>
      </c>
      <c r="Q100" t="n">
        <v>0</v>
      </c>
      <c r="R100" s="2" t="inlineStr"/>
    </row>
    <row r="101" ht="15" customHeight="1">
      <c r="A101" t="inlineStr">
        <is>
          <t>A 33648-2024</t>
        </is>
      </c>
      <c r="B101" s="1" t="n">
        <v>45520.44971064815</v>
      </c>
      <c r="C101" s="1" t="n">
        <v>46189</v>
      </c>
      <c r="D101" t="inlineStr">
        <is>
          <t>VÄSTERBOTTENS LÄN</t>
        </is>
      </c>
      <c r="E101" t="inlineStr">
        <is>
          <t>SORSELE</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25945-2022</t>
        </is>
      </c>
      <c r="B102" s="1" t="n">
        <v>44734</v>
      </c>
      <c r="C102" s="1" t="n">
        <v>46189</v>
      </c>
      <c r="D102" t="inlineStr">
        <is>
          <t>VÄSTERBOTTENS LÄN</t>
        </is>
      </c>
      <c r="E102" t="inlineStr">
        <is>
          <t>SORSELE</t>
        </is>
      </c>
      <c r="G102" t="n">
        <v>7.7</v>
      </c>
      <c r="H102" t="n">
        <v>0</v>
      </c>
      <c r="I102" t="n">
        <v>0</v>
      </c>
      <c r="J102" t="n">
        <v>0</v>
      </c>
      <c r="K102" t="n">
        <v>0</v>
      </c>
      <c r="L102" t="n">
        <v>0</v>
      </c>
      <c r="M102" t="n">
        <v>0</v>
      </c>
      <c r="N102" t="n">
        <v>0</v>
      </c>
      <c r="O102" t="n">
        <v>0</v>
      </c>
      <c r="P102" t="n">
        <v>0</v>
      </c>
      <c r="Q102" t="n">
        <v>0</v>
      </c>
      <c r="R102" s="2" t="inlineStr"/>
    </row>
    <row r="103" ht="15" customHeight="1">
      <c r="A103" t="inlineStr">
        <is>
          <t>A 10818-2025</t>
        </is>
      </c>
      <c r="B103" s="1" t="n">
        <v>45722</v>
      </c>
      <c r="C103" s="1" t="n">
        <v>46189</v>
      </c>
      <c r="D103" t="inlineStr">
        <is>
          <t>VÄSTERBOTTENS LÄN</t>
        </is>
      </c>
      <c r="E103" t="inlineStr">
        <is>
          <t>SORSELE</t>
        </is>
      </c>
      <c r="G103" t="n">
        <v>5.5</v>
      </c>
      <c r="H103" t="n">
        <v>0</v>
      </c>
      <c r="I103" t="n">
        <v>0</v>
      </c>
      <c r="J103" t="n">
        <v>0</v>
      </c>
      <c r="K103" t="n">
        <v>0</v>
      </c>
      <c r="L103" t="n">
        <v>0</v>
      </c>
      <c r="M103" t="n">
        <v>0</v>
      </c>
      <c r="N103" t="n">
        <v>0</v>
      </c>
      <c r="O103" t="n">
        <v>0</v>
      </c>
      <c r="P103" t="n">
        <v>0</v>
      </c>
      <c r="Q103" t="n">
        <v>0</v>
      </c>
      <c r="R103" s="2" t="inlineStr"/>
    </row>
    <row r="104" ht="15" customHeight="1">
      <c r="A104" t="inlineStr">
        <is>
          <t>A 23126-2022</t>
        </is>
      </c>
      <c r="B104" s="1" t="n">
        <v>44719</v>
      </c>
      <c r="C104" s="1" t="n">
        <v>46189</v>
      </c>
      <c r="D104" t="inlineStr">
        <is>
          <t>VÄSTERBOTTENS LÄN</t>
        </is>
      </c>
      <c r="E104" t="inlineStr">
        <is>
          <t>SORSELE</t>
        </is>
      </c>
      <c r="G104" t="n">
        <v>20.7</v>
      </c>
      <c r="H104" t="n">
        <v>0</v>
      </c>
      <c r="I104" t="n">
        <v>0</v>
      </c>
      <c r="J104" t="n">
        <v>0</v>
      </c>
      <c r="K104" t="n">
        <v>0</v>
      </c>
      <c r="L104" t="n">
        <v>0</v>
      </c>
      <c r="M104" t="n">
        <v>0</v>
      </c>
      <c r="N104" t="n">
        <v>0</v>
      </c>
      <c r="O104" t="n">
        <v>0</v>
      </c>
      <c r="P104" t="n">
        <v>0</v>
      </c>
      <c r="Q104" t="n">
        <v>0</v>
      </c>
      <c r="R104" s="2" t="inlineStr"/>
    </row>
    <row r="105" ht="15" customHeight="1">
      <c r="A105" t="inlineStr">
        <is>
          <t>A 23229-2022</t>
        </is>
      </c>
      <c r="B105" s="1" t="n">
        <v>44719</v>
      </c>
      <c r="C105" s="1" t="n">
        <v>46189</v>
      </c>
      <c r="D105" t="inlineStr">
        <is>
          <t>VÄSTERBOTTENS LÄN</t>
        </is>
      </c>
      <c r="E105" t="inlineStr">
        <is>
          <t>SORSELE</t>
        </is>
      </c>
      <c r="G105" t="n">
        <v>22.6</v>
      </c>
      <c r="H105" t="n">
        <v>0</v>
      </c>
      <c r="I105" t="n">
        <v>0</v>
      </c>
      <c r="J105" t="n">
        <v>0</v>
      </c>
      <c r="K105" t="n">
        <v>0</v>
      </c>
      <c r="L105" t="n">
        <v>0</v>
      </c>
      <c r="M105" t="n">
        <v>0</v>
      </c>
      <c r="N105" t="n">
        <v>0</v>
      </c>
      <c r="O105" t="n">
        <v>0</v>
      </c>
      <c r="P105" t="n">
        <v>0</v>
      </c>
      <c r="Q105" t="n">
        <v>0</v>
      </c>
      <c r="R105" s="2" t="inlineStr"/>
    </row>
    <row r="106" ht="15" customHeight="1">
      <c r="A106" t="inlineStr">
        <is>
          <t>A 569-2025</t>
        </is>
      </c>
      <c r="B106" s="1" t="n">
        <v>45660</v>
      </c>
      <c r="C106" s="1" t="n">
        <v>46189</v>
      </c>
      <c r="D106" t="inlineStr">
        <is>
          <t>VÄSTERBOTTENS LÄN</t>
        </is>
      </c>
      <c r="E106" t="inlineStr">
        <is>
          <t>SORSELE</t>
        </is>
      </c>
      <c r="G106" t="n">
        <v>20.6</v>
      </c>
      <c r="H106" t="n">
        <v>0</v>
      </c>
      <c r="I106" t="n">
        <v>0</v>
      </c>
      <c r="J106" t="n">
        <v>0</v>
      </c>
      <c r="K106" t="n">
        <v>0</v>
      </c>
      <c r="L106" t="n">
        <v>0</v>
      </c>
      <c r="M106" t="n">
        <v>0</v>
      </c>
      <c r="N106" t="n">
        <v>0</v>
      </c>
      <c r="O106" t="n">
        <v>0</v>
      </c>
      <c r="P106" t="n">
        <v>0</v>
      </c>
      <c r="Q106" t="n">
        <v>0</v>
      </c>
      <c r="R106" s="2" t="inlineStr"/>
    </row>
    <row r="107" ht="15" customHeight="1">
      <c r="A107" t="inlineStr">
        <is>
          <t>A 26056-2023</t>
        </is>
      </c>
      <c r="B107" s="1" t="n">
        <v>45086</v>
      </c>
      <c r="C107" s="1" t="n">
        <v>46189</v>
      </c>
      <c r="D107" t="inlineStr">
        <is>
          <t>VÄSTERBOTTENS LÄN</t>
        </is>
      </c>
      <c r="E107" t="inlineStr">
        <is>
          <t>SORSELE</t>
        </is>
      </c>
      <c r="G107" t="n">
        <v>1.7</v>
      </c>
      <c r="H107" t="n">
        <v>0</v>
      </c>
      <c r="I107" t="n">
        <v>0</v>
      </c>
      <c r="J107" t="n">
        <v>0</v>
      </c>
      <c r="K107" t="n">
        <v>0</v>
      </c>
      <c r="L107" t="n">
        <v>0</v>
      </c>
      <c r="M107" t="n">
        <v>0</v>
      </c>
      <c r="N107" t="n">
        <v>0</v>
      </c>
      <c r="O107" t="n">
        <v>0</v>
      </c>
      <c r="P107" t="n">
        <v>0</v>
      </c>
      <c r="Q107" t="n">
        <v>0</v>
      </c>
      <c r="R107" s="2" t="inlineStr"/>
    </row>
    <row r="108" ht="15" customHeight="1">
      <c r="A108" t="inlineStr">
        <is>
          <t>A 38270-2024</t>
        </is>
      </c>
      <c r="B108" s="1" t="n">
        <v>45545.60266203704</v>
      </c>
      <c r="C108" s="1" t="n">
        <v>46189</v>
      </c>
      <c r="D108" t="inlineStr">
        <is>
          <t>VÄSTERBOTTENS LÄN</t>
        </is>
      </c>
      <c r="E108" t="inlineStr">
        <is>
          <t>SORSELE</t>
        </is>
      </c>
      <c r="G108" t="n">
        <v>14.8</v>
      </c>
      <c r="H108" t="n">
        <v>0</v>
      </c>
      <c r="I108" t="n">
        <v>0</v>
      </c>
      <c r="J108" t="n">
        <v>0</v>
      </c>
      <c r="K108" t="n">
        <v>0</v>
      </c>
      <c r="L108" t="n">
        <v>0</v>
      </c>
      <c r="M108" t="n">
        <v>0</v>
      </c>
      <c r="N108" t="n">
        <v>0</v>
      </c>
      <c r="O108" t="n">
        <v>0</v>
      </c>
      <c r="P108" t="n">
        <v>0</v>
      </c>
      <c r="Q108" t="n">
        <v>0</v>
      </c>
      <c r="R108" s="2" t="inlineStr"/>
    </row>
    <row r="109" ht="15" customHeight="1">
      <c r="A109" t="inlineStr">
        <is>
          <t>A 56515-2024</t>
        </is>
      </c>
      <c r="B109" s="1" t="n">
        <v>45625.53189814815</v>
      </c>
      <c r="C109" s="1" t="n">
        <v>46189</v>
      </c>
      <c r="D109" t="inlineStr">
        <is>
          <t>VÄSTERBOTTENS LÄN</t>
        </is>
      </c>
      <c r="E109" t="inlineStr">
        <is>
          <t>SORSELE</t>
        </is>
      </c>
      <c r="F109" t="inlineStr">
        <is>
          <t>SCA</t>
        </is>
      </c>
      <c r="G109" t="n">
        <v>20.4</v>
      </c>
      <c r="H109" t="n">
        <v>0</v>
      </c>
      <c r="I109" t="n">
        <v>0</v>
      </c>
      <c r="J109" t="n">
        <v>0</v>
      </c>
      <c r="K109" t="n">
        <v>0</v>
      </c>
      <c r="L109" t="n">
        <v>0</v>
      </c>
      <c r="M109" t="n">
        <v>0</v>
      </c>
      <c r="N109" t="n">
        <v>0</v>
      </c>
      <c r="O109" t="n">
        <v>0</v>
      </c>
      <c r="P109" t="n">
        <v>0</v>
      </c>
      <c r="Q109" t="n">
        <v>0</v>
      </c>
      <c r="R109" s="2" t="inlineStr"/>
    </row>
    <row r="110" ht="15" customHeight="1">
      <c r="A110" t="inlineStr">
        <is>
          <t>A 10795-2023</t>
        </is>
      </c>
      <c r="B110" s="1" t="n">
        <v>44989.42253472222</v>
      </c>
      <c r="C110" s="1" t="n">
        <v>46189</v>
      </c>
      <c r="D110" t="inlineStr">
        <is>
          <t>VÄSTERBOTTENS LÄN</t>
        </is>
      </c>
      <c r="E110" t="inlineStr">
        <is>
          <t>SORSELE</t>
        </is>
      </c>
      <c r="G110" t="n">
        <v>1.5</v>
      </c>
      <c r="H110" t="n">
        <v>0</v>
      </c>
      <c r="I110" t="n">
        <v>0</v>
      </c>
      <c r="J110" t="n">
        <v>0</v>
      </c>
      <c r="K110" t="n">
        <v>0</v>
      </c>
      <c r="L110" t="n">
        <v>0</v>
      </c>
      <c r="M110" t="n">
        <v>0</v>
      </c>
      <c r="N110" t="n">
        <v>0</v>
      </c>
      <c r="O110" t="n">
        <v>0</v>
      </c>
      <c r="P110" t="n">
        <v>0</v>
      </c>
      <c r="Q110" t="n">
        <v>0</v>
      </c>
      <c r="R110" s="2" t="inlineStr"/>
    </row>
    <row r="111" ht="15" customHeight="1">
      <c r="A111" t="inlineStr">
        <is>
          <t>A 46319-2023</t>
        </is>
      </c>
      <c r="B111" s="1" t="n">
        <v>45191</v>
      </c>
      <c r="C111" s="1" t="n">
        <v>46189</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8987-2025</t>
        </is>
      </c>
      <c r="B112" s="1" t="n">
        <v>45713.53717592593</v>
      </c>
      <c r="C112" s="1" t="n">
        <v>46189</v>
      </c>
      <c r="D112" t="inlineStr">
        <is>
          <t>VÄSTERBOTTENS LÄN</t>
        </is>
      </c>
      <c r="E112" t="inlineStr">
        <is>
          <t>SORSELE</t>
        </is>
      </c>
      <c r="G112" t="n">
        <v>1.9</v>
      </c>
      <c r="H112" t="n">
        <v>0</v>
      </c>
      <c r="I112" t="n">
        <v>0</v>
      </c>
      <c r="J112" t="n">
        <v>0</v>
      </c>
      <c r="K112" t="n">
        <v>0</v>
      </c>
      <c r="L112" t="n">
        <v>0</v>
      </c>
      <c r="M112" t="n">
        <v>0</v>
      </c>
      <c r="N112" t="n">
        <v>0</v>
      </c>
      <c r="O112" t="n">
        <v>0</v>
      </c>
      <c r="P112" t="n">
        <v>0</v>
      </c>
      <c r="Q112" t="n">
        <v>0</v>
      </c>
      <c r="R112" s="2" t="inlineStr"/>
    </row>
    <row r="113" ht="15" customHeight="1">
      <c r="A113" t="inlineStr">
        <is>
          <t>A 54376-2022</t>
        </is>
      </c>
      <c r="B113" s="1" t="n">
        <v>44879</v>
      </c>
      <c r="C113" s="1" t="n">
        <v>46189</v>
      </c>
      <c r="D113" t="inlineStr">
        <is>
          <t>VÄSTERBOTTENS LÄN</t>
        </is>
      </c>
      <c r="E113" t="inlineStr">
        <is>
          <t>SORSELE</t>
        </is>
      </c>
      <c r="G113" t="n">
        <v>1.1</v>
      </c>
      <c r="H113" t="n">
        <v>0</v>
      </c>
      <c r="I113" t="n">
        <v>0</v>
      </c>
      <c r="J113" t="n">
        <v>0</v>
      </c>
      <c r="K113" t="n">
        <v>0</v>
      </c>
      <c r="L113" t="n">
        <v>0</v>
      </c>
      <c r="M113" t="n">
        <v>0</v>
      </c>
      <c r="N113" t="n">
        <v>0</v>
      </c>
      <c r="O113" t="n">
        <v>0</v>
      </c>
      <c r="P113" t="n">
        <v>0</v>
      </c>
      <c r="Q113" t="n">
        <v>0</v>
      </c>
      <c r="R113" s="2" t="inlineStr"/>
    </row>
    <row r="114" ht="15" customHeight="1">
      <c r="A114" t="inlineStr">
        <is>
          <t>A 3756-2025</t>
        </is>
      </c>
      <c r="B114" s="1" t="n">
        <v>45681</v>
      </c>
      <c r="C114" s="1" t="n">
        <v>46189</v>
      </c>
      <c r="D114" t="inlineStr">
        <is>
          <t>VÄSTERBOTTENS LÄN</t>
        </is>
      </c>
      <c r="E114" t="inlineStr">
        <is>
          <t>SORSELE</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13088-2023</t>
        </is>
      </c>
      <c r="B115" s="1" t="n">
        <v>45001</v>
      </c>
      <c r="C115" s="1" t="n">
        <v>46189</v>
      </c>
      <c r="D115" t="inlineStr">
        <is>
          <t>VÄSTERBOTTENS LÄN</t>
        </is>
      </c>
      <c r="E115" t="inlineStr">
        <is>
          <t>SORSELE</t>
        </is>
      </c>
      <c r="G115" t="n">
        <v>20</v>
      </c>
      <c r="H115" t="n">
        <v>0</v>
      </c>
      <c r="I115" t="n">
        <v>0</v>
      </c>
      <c r="J115" t="n">
        <v>0</v>
      </c>
      <c r="K115" t="n">
        <v>0</v>
      </c>
      <c r="L115" t="n">
        <v>0</v>
      </c>
      <c r="M115" t="n">
        <v>0</v>
      </c>
      <c r="N115" t="n">
        <v>0</v>
      </c>
      <c r="O115" t="n">
        <v>0</v>
      </c>
      <c r="P115" t="n">
        <v>0</v>
      </c>
      <c r="Q115" t="n">
        <v>0</v>
      </c>
      <c r="R115" s="2" t="inlineStr"/>
    </row>
    <row r="116" ht="15" customHeight="1">
      <c r="A116" t="inlineStr">
        <is>
          <t>A 30417-2024</t>
        </is>
      </c>
      <c r="B116" s="1" t="n">
        <v>45491.64728009259</v>
      </c>
      <c r="C116" s="1" t="n">
        <v>46189</v>
      </c>
      <c r="D116" t="inlineStr">
        <is>
          <t>VÄSTERBOTTENS LÄN</t>
        </is>
      </c>
      <c r="E116" t="inlineStr">
        <is>
          <t>SORSELE</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1645-2024</t>
        </is>
      </c>
      <c r="B117" s="1" t="n">
        <v>45306</v>
      </c>
      <c r="C117" s="1" t="n">
        <v>46189</v>
      </c>
      <c r="D117" t="inlineStr">
        <is>
          <t>VÄSTERBOTTENS LÄN</t>
        </is>
      </c>
      <c r="E117" t="inlineStr">
        <is>
          <t>SORSELE</t>
        </is>
      </c>
      <c r="G117" t="n">
        <v>49.3</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46189</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69703-2021</t>
        </is>
      </c>
      <c r="B119" s="1" t="n">
        <v>44532</v>
      </c>
      <c r="C119" s="1" t="n">
        <v>46189</v>
      </c>
      <c r="D119" t="inlineStr">
        <is>
          <t>VÄSTERBOTTENS LÄN</t>
        </is>
      </c>
      <c r="E119" t="inlineStr">
        <is>
          <t>SORSELE</t>
        </is>
      </c>
      <c r="G119" t="n">
        <v>11.2</v>
      </c>
      <c r="H119" t="n">
        <v>0</v>
      </c>
      <c r="I119" t="n">
        <v>0</v>
      </c>
      <c r="J119" t="n">
        <v>0</v>
      </c>
      <c r="K119" t="n">
        <v>0</v>
      </c>
      <c r="L119" t="n">
        <v>0</v>
      </c>
      <c r="M119" t="n">
        <v>0</v>
      </c>
      <c r="N119" t="n">
        <v>0</v>
      </c>
      <c r="O119" t="n">
        <v>0</v>
      </c>
      <c r="P119" t="n">
        <v>0</v>
      </c>
      <c r="Q119" t="n">
        <v>0</v>
      </c>
      <c r="R119" s="2" t="inlineStr"/>
    </row>
    <row r="120" ht="15" customHeight="1">
      <c r="A120" t="inlineStr">
        <is>
          <t>A 40253-2025</t>
        </is>
      </c>
      <c r="B120" s="1" t="n">
        <v>45895.32173611111</v>
      </c>
      <c r="C120" s="1" t="n">
        <v>46189</v>
      </c>
      <c r="D120" t="inlineStr">
        <is>
          <t>VÄSTERBOTTENS LÄN</t>
        </is>
      </c>
      <c r="E120" t="inlineStr">
        <is>
          <t>SORSELE</t>
        </is>
      </c>
      <c r="F120" t="inlineStr">
        <is>
          <t>Allmännings- och besparingsskogar</t>
        </is>
      </c>
      <c r="G120" t="n">
        <v>32.5</v>
      </c>
      <c r="H120" t="n">
        <v>0</v>
      </c>
      <c r="I120" t="n">
        <v>0</v>
      </c>
      <c r="J120" t="n">
        <v>0</v>
      </c>
      <c r="K120" t="n">
        <v>0</v>
      </c>
      <c r="L120" t="n">
        <v>0</v>
      </c>
      <c r="M120" t="n">
        <v>0</v>
      </c>
      <c r="N120" t="n">
        <v>0</v>
      </c>
      <c r="O120" t="n">
        <v>0</v>
      </c>
      <c r="P120" t="n">
        <v>0</v>
      </c>
      <c r="Q120" t="n">
        <v>0</v>
      </c>
      <c r="R120" s="2" t="inlineStr"/>
    </row>
    <row r="121" ht="15" customHeight="1">
      <c r="A121" t="inlineStr">
        <is>
          <t>A 54408-2023</t>
        </is>
      </c>
      <c r="B121" s="1" t="n">
        <v>45226</v>
      </c>
      <c r="C121" s="1" t="n">
        <v>46189</v>
      </c>
      <c r="D121" t="inlineStr">
        <is>
          <t>VÄSTERBOTTENS LÄN</t>
        </is>
      </c>
      <c r="E121" t="inlineStr">
        <is>
          <t>SORSELE</t>
        </is>
      </c>
      <c r="G121" t="n">
        <v>0.6</v>
      </c>
      <c r="H121" t="n">
        <v>0</v>
      </c>
      <c r="I121" t="n">
        <v>0</v>
      </c>
      <c r="J121" t="n">
        <v>0</v>
      </c>
      <c r="K121" t="n">
        <v>0</v>
      </c>
      <c r="L121" t="n">
        <v>0</v>
      </c>
      <c r="M121" t="n">
        <v>0</v>
      </c>
      <c r="N121" t="n">
        <v>0</v>
      </c>
      <c r="O121" t="n">
        <v>0</v>
      </c>
      <c r="P121" t="n">
        <v>0</v>
      </c>
      <c r="Q121" t="n">
        <v>0</v>
      </c>
      <c r="R121" s="2" t="inlineStr"/>
    </row>
    <row r="122" ht="15" customHeight="1">
      <c r="A122" t="inlineStr">
        <is>
          <t>A 54375-2022</t>
        </is>
      </c>
      <c r="B122" s="1" t="n">
        <v>44879</v>
      </c>
      <c r="C122" s="1" t="n">
        <v>46189</v>
      </c>
      <c r="D122" t="inlineStr">
        <is>
          <t>VÄSTERBOTTENS LÄN</t>
        </is>
      </c>
      <c r="E122" t="inlineStr">
        <is>
          <t>SORSELE</t>
        </is>
      </c>
      <c r="G122" t="n">
        <v>2.4</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46189</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41447-2025</t>
        </is>
      </c>
      <c r="B124" s="1" t="n">
        <v>45901.42756944444</v>
      </c>
      <c r="C124" s="1" t="n">
        <v>46189</v>
      </c>
      <c r="D124" t="inlineStr">
        <is>
          <t>VÄSTERBOTTENS LÄN</t>
        </is>
      </c>
      <c r="E124" t="inlineStr">
        <is>
          <t>SORSELE</t>
        </is>
      </c>
      <c r="F124" t="inlineStr">
        <is>
          <t>SCA</t>
        </is>
      </c>
      <c r="G124" t="n">
        <v>12.9</v>
      </c>
      <c r="H124" t="n">
        <v>0</v>
      </c>
      <c r="I124" t="n">
        <v>0</v>
      </c>
      <c r="J124" t="n">
        <v>0</v>
      </c>
      <c r="K124" t="n">
        <v>0</v>
      </c>
      <c r="L124" t="n">
        <v>0</v>
      </c>
      <c r="M124" t="n">
        <v>0</v>
      </c>
      <c r="N124" t="n">
        <v>0</v>
      </c>
      <c r="O124" t="n">
        <v>0</v>
      </c>
      <c r="P124" t="n">
        <v>0</v>
      </c>
      <c r="Q124" t="n">
        <v>0</v>
      </c>
      <c r="R124" s="2" t="inlineStr"/>
    </row>
    <row r="125" ht="15" customHeight="1">
      <c r="A125" t="inlineStr">
        <is>
          <t>A 51934-2021</t>
        </is>
      </c>
      <c r="B125" s="1" t="n">
        <v>44462.95502314815</v>
      </c>
      <c r="C125" s="1" t="n">
        <v>46189</v>
      </c>
      <c r="D125" t="inlineStr">
        <is>
          <t>VÄSTERBOTTENS LÄN</t>
        </is>
      </c>
      <c r="E125" t="inlineStr">
        <is>
          <t>SORSELE</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44132-2023</t>
        </is>
      </c>
      <c r="B126" s="1" t="n">
        <v>45182</v>
      </c>
      <c r="C126" s="1" t="n">
        <v>46189</v>
      </c>
      <c r="D126" t="inlineStr">
        <is>
          <t>VÄSTERBOTTENS LÄN</t>
        </is>
      </c>
      <c r="E126" t="inlineStr">
        <is>
          <t>SORSELE</t>
        </is>
      </c>
      <c r="G126" t="n">
        <v>7.1</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46189</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64361-2023</t>
        </is>
      </c>
      <c r="B128" s="1" t="n">
        <v>45280</v>
      </c>
      <c r="C128" s="1" t="n">
        <v>46189</v>
      </c>
      <c r="D128" t="inlineStr">
        <is>
          <t>VÄSTERBOTTENS LÄN</t>
        </is>
      </c>
      <c r="E128" t="inlineStr">
        <is>
          <t>SORSELE</t>
        </is>
      </c>
      <c r="G128" t="n">
        <v>99.59999999999999</v>
      </c>
      <c r="H128" t="n">
        <v>0</v>
      </c>
      <c r="I128" t="n">
        <v>0</v>
      </c>
      <c r="J128" t="n">
        <v>0</v>
      </c>
      <c r="K128" t="n">
        <v>0</v>
      </c>
      <c r="L128" t="n">
        <v>0</v>
      </c>
      <c r="M128" t="n">
        <v>0</v>
      </c>
      <c r="N128" t="n">
        <v>0</v>
      </c>
      <c r="O128" t="n">
        <v>0</v>
      </c>
      <c r="P128" t="n">
        <v>0</v>
      </c>
      <c r="Q128" t="n">
        <v>0</v>
      </c>
      <c r="R128" s="2" t="inlineStr"/>
    </row>
    <row r="129" ht="15" customHeight="1">
      <c r="A129" t="inlineStr">
        <is>
          <t>A 31129-2025</t>
        </is>
      </c>
      <c r="B129" s="1" t="n">
        <v>45831</v>
      </c>
      <c r="C129" s="1" t="n">
        <v>46189</v>
      </c>
      <c r="D129" t="inlineStr">
        <is>
          <t>VÄSTERBOTTENS LÄN</t>
        </is>
      </c>
      <c r="E129" t="inlineStr">
        <is>
          <t>SORSELE</t>
        </is>
      </c>
      <c r="G129" t="n">
        <v>47.3</v>
      </c>
      <c r="H129" t="n">
        <v>0</v>
      </c>
      <c r="I129" t="n">
        <v>0</v>
      </c>
      <c r="J129" t="n">
        <v>0</v>
      </c>
      <c r="K129" t="n">
        <v>0</v>
      </c>
      <c r="L129" t="n">
        <v>0</v>
      </c>
      <c r="M129" t="n">
        <v>0</v>
      </c>
      <c r="N129" t="n">
        <v>0</v>
      </c>
      <c r="O129" t="n">
        <v>0</v>
      </c>
      <c r="P129" t="n">
        <v>0</v>
      </c>
      <c r="Q129" t="n">
        <v>0</v>
      </c>
      <c r="R129" s="2" t="inlineStr"/>
    </row>
    <row r="130" ht="15" customHeight="1">
      <c r="A130" t="inlineStr">
        <is>
          <t>A 45515-2022</t>
        </is>
      </c>
      <c r="B130" s="1" t="n">
        <v>44841</v>
      </c>
      <c r="C130" s="1" t="n">
        <v>46189</v>
      </c>
      <c r="D130" t="inlineStr">
        <is>
          <t>VÄSTERBOTTENS LÄN</t>
        </is>
      </c>
      <c r="E130" t="inlineStr">
        <is>
          <t>SORSELE</t>
        </is>
      </c>
      <c r="G130" t="n">
        <v>33.5</v>
      </c>
      <c r="H130" t="n">
        <v>0</v>
      </c>
      <c r="I130" t="n">
        <v>0</v>
      </c>
      <c r="J130" t="n">
        <v>0</v>
      </c>
      <c r="K130" t="n">
        <v>0</v>
      </c>
      <c r="L130" t="n">
        <v>0</v>
      </c>
      <c r="M130" t="n">
        <v>0</v>
      </c>
      <c r="N130" t="n">
        <v>0</v>
      </c>
      <c r="O130" t="n">
        <v>0</v>
      </c>
      <c r="P130" t="n">
        <v>0</v>
      </c>
      <c r="Q130" t="n">
        <v>0</v>
      </c>
      <c r="R130" s="2" t="inlineStr"/>
    </row>
    <row r="131" ht="15" customHeight="1">
      <c r="A131" t="inlineStr">
        <is>
          <t>A 47908-2022</t>
        </is>
      </c>
      <c r="B131" s="1" t="n">
        <v>44855.48153935185</v>
      </c>
      <c r="C131" s="1" t="n">
        <v>46189</v>
      </c>
      <c r="D131" t="inlineStr">
        <is>
          <t>VÄSTERBOTTENS LÄN</t>
        </is>
      </c>
      <c r="E131" t="inlineStr">
        <is>
          <t>SORSELE</t>
        </is>
      </c>
      <c r="F131" t="inlineStr">
        <is>
          <t>Kyrkan</t>
        </is>
      </c>
      <c r="G131" t="n">
        <v>22.7</v>
      </c>
      <c r="H131" t="n">
        <v>0</v>
      </c>
      <c r="I131" t="n">
        <v>0</v>
      </c>
      <c r="J131" t="n">
        <v>0</v>
      </c>
      <c r="K131" t="n">
        <v>0</v>
      </c>
      <c r="L131" t="n">
        <v>0</v>
      </c>
      <c r="M131" t="n">
        <v>0</v>
      </c>
      <c r="N131" t="n">
        <v>0</v>
      </c>
      <c r="O131" t="n">
        <v>0</v>
      </c>
      <c r="P131" t="n">
        <v>0</v>
      </c>
      <c r="Q131" t="n">
        <v>0</v>
      </c>
      <c r="R131" s="2" t="inlineStr"/>
    </row>
    <row r="132" ht="15" customHeight="1">
      <c r="A132" t="inlineStr">
        <is>
          <t>A 52680-2021</t>
        </is>
      </c>
      <c r="B132" s="1" t="n">
        <v>44466</v>
      </c>
      <c r="C132" s="1" t="n">
        <v>46189</v>
      </c>
      <c r="D132" t="inlineStr">
        <is>
          <t>VÄSTERBOTTENS LÄN</t>
        </is>
      </c>
      <c r="E132" t="inlineStr">
        <is>
          <t>SORSELE</t>
        </is>
      </c>
      <c r="G132" t="n">
        <v>10.5</v>
      </c>
      <c r="H132" t="n">
        <v>0</v>
      </c>
      <c r="I132" t="n">
        <v>0</v>
      </c>
      <c r="J132" t="n">
        <v>0</v>
      </c>
      <c r="K132" t="n">
        <v>0</v>
      </c>
      <c r="L132" t="n">
        <v>0</v>
      </c>
      <c r="M132" t="n">
        <v>0</v>
      </c>
      <c r="N132" t="n">
        <v>0</v>
      </c>
      <c r="O132" t="n">
        <v>0</v>
      </c>
      <c r="P132" t="n">
        <v>0</v>
      </c>
      <c r="Q132" t="n">
        <v>0</v>
      </c>
      <c r="R132" s="2" t="inlineStr"/>
    </row>
    <row r="133" ht="15" customHeight="1">
      <c r="A133" t="inlineStr">
        <is>
          <t>A 40471-2024</t>
        </is>
      </c>
      <c r="B133" s="1" t="n">
        <v>45555</v>
      </c>
      <c r="C133" s="1" t="n">
        <v>46189</v>
      </c>
      <c r="D133" t="inlineStr">
        <is>
          <t>VÄSTERBOTTENS LÄN</t>
        </is>
      </c>
      <c r="E133" t="inlineStr">
        <is>
          <t>SORSELE</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51437-2023</t>
        </is>
      </c>
      <c r="B134" s="1" t="n">
        <v>45219.96467592593</v>
      </c>
      <c r="C134" s="1" t="n">
        <v>46189</v>
      </c>
      <c r="D134" t="inlineStr">
        <is>
          <t>VÄSTERBOTTENS LÄN</t>
        </is>
      </c>
      <c r="E134" t="inlineStr">
        <is>
          <t>SORSELE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71517-2021</t>
        </is>
      </c>
      <c r="B135" s="1" t="n">
        <v>44538</v>
      </c>
      <c r="C135" s="1" t="n">
        <v>46189</v>
      </c>
      <c r="D135" t="inlineStr">
        <is>
          <t>VÄSTERBOTTENS LÄN</t>
        </is>
      </c>
      <c r="E135" t="inlineStr">
        <is>
          <t>SORSELE</t>
        </is>
      </c>
      <c r="G135" t="n">
        <v>2.8</v>
      </c>
      <c r="H135" t="n">
        <v>0</v>
      </c>
      <c r="I135" t="n">
        <v>0</v>
      </c>
      <c r="J135" t="n">
        <v>0</v>
      </c>
      <c r="K135" t="n">
        <v>0</v>
      </c>
      <c r="L135" t="n">
        <v>0</v>
      </c>
      <c r="M135" t="n">
        <v>0</v>
      </c>
      <c r="N135" t="n">
        <v>0</v>
      </c>
      <c r="O135" t="n">
        <v>0</v>
      </c>
      <c r="P135" t="n">
        <v>0</v>
      </c>
      <c r="Q135" t="n">
        <v>0</v>
      </c>
      <c r="R135" s="2" t="inlineStr"/>
    </row>
    <row r="136" ht="15" customHeight="1">
      <c r="A136" t="inlineStr">
        <is>
          <t>A 28688-2023</t>
        </is>
      </c>
      <c r="B136" s="1" t="n">
        <v>45103</v>
      </c>
      <c r="C136" s="1" t="n">
        <v>46189</v>
      </c>
      <c r="D136" t="inlineStr">
        <is>
          <t>VÄSTERBOTTENS LÄN</t>
        </is>
      </c>
      <c r="E136" t="inlineStr">
        <is>
          <t>SORSELE</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41251-2024</t>
        </is>
      </c>
      <c r="B137" s="1" t="n">
        <v>45559</v>
      </c>
      <c r="C137" s="1" t="n">
        <v>46189</v>
      </c>
      <c r="D137" t="inlineStr">
        <is>
          <t>VÄSTERBOTTENS LÄN</t>
        </is>
      </c>
      <c r="E137" t="inlineStr">
        <is>
          <t>SORSELE</t>
        </is>
      </c>
      <c r="G137" t="n">
        <v>1.7</v>
      </c>
      <c r="H137" t="n">
        <v>0</v>
      </c>
      <c r="I137" t="n">
        <v>0</v>
      </c>
      <c r="J137" t="n">
        <v>0</v>
      </c>
      <c r="K137" t="n">
        <v>0</v>
      </c>
      <c r="L137" t="n">
        <v>0</v>
      </c>
      <c r="M137" t="n">
        <v>0</v>
      </c>
      <c r="N137" t="n">
        <v>0</v>
      </c>
      <c r="O137" t="n">
        <v>0</v>
      </c>
      <c r="P137" t="n">
        <v>0</v>
      </c>
      <c r="Q137" t="n">
        <v>0</v>
      </c>
      <c r="R137" s="2" t="inlineStr"/>
    </row>
    <row r="138" ht="15" customHeight="1">
      <c r="A138" t="inlineStr">
        <is>
          <t>A 28959-2023</t>
        </is>
      </c>
      <c r="B138" s="1" t="n">
        <v>45104</v>
      </c>
      <c r="C138" s="1" t="n">
        <v>46189</v>
      </c>
      <c r="D138" t="inlineStr">
        <is>
          <t>VÄSTERBOTTENS LÄN</t>
        </is>
      </c>
      <c r="E138" t="inlineStr">
        <is>
          <t>SORSELE</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44478-2025</t>
        </is>
      </c>
      <c r="B139" s="1" t="n">
        <v>45916.64693287037</v>
      </c>
      <c r="C139" s="1" t="n">
        <v>46189</v>
      </c>
      <c r="D139" t="inlineStr">
        <is>
          <t>VÄSTERBOTTENS LÄN</t>
        </is>
      </c>
      <c r="E139" t="inlineStr">
        <is>
          <t>SORSELE</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69458-2021</t>
        </is>
      </c>
      <c r="B140" s="1" t="n">
        <v>44531</v>
      </c>
      <c r="C140" s="1" t="n">
        <v>46189</v>
      </c>
      <c r="D140" t="inlineStr">
        <is>
          <t>VÄSTERBOTTENS LÄN</t>
        </is>
      </c>
      <c r="E140" t="inlineStr">
        <is>
          <t>SORSELE</t>
        </is>
      </c>
      <c r="G140" t="n">
        <v>2</v>
      </c>
      <c r="H140" t="n">
        <v>0</v>
      </c>
      <c r="I140" t="n">
        <v>0</v>
      </c>
      <c r="J140" t="n">
        <v>0</v>
      </c>
      <c r="K140" t="n">
        <v>0</v>
      </c>
      <c r="L140" t="n">
        <v>0</v>
      </c>
      <c r="M140" t="n">
        <v>0</v>
      </c>
      <c r="N140" t="n">
        <v>0</v>
      </c>
      <c r="O140" t="n">
        <v>0</v>
      </c>
      <c r="P140" t="n">
        <v>0</v>
      </c>
      <c r="Q140" t="n">
        <v>0</v>
      </c>
      <c r="R140" s="2" t="inlineStr"/>
    </row>
    <row r="141" ht="15" customHeight="1">
      <c r="A141" t="inlineStr">
        <is>
          <t>A 22568-2023</t>
        </is>
      </c>
      <c r="B141" s="1" t="n">
        <v>45069</v>
      </c>
      <c r="C141" s="1" t="n">
        <v>46189</v>
      </c>
      <c r="D141" t="inlineStr">
        <is>
          <t>VÄSTERBOTTENS LÄN</t>
        </is>
      </c>
      <c r="E141" t="inlineStr">
        <is>
          <t>SORSELE</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47603-2022</t>
        </is>
      </c>
      <c r="B142" s="1" t="n">
        <v>44852</v>
      </c>
      <c r="C142" s="1" t="n">
        <v>46189</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45008-2025</t>
        </is>
      </c>
      <c r="B143" s="1" t="n">
        <v>45918.66846064815</v>
      </c>
      <c r="C143" s="1" t="n">
        <v>46189</v>
      </c>
      <c r="D143" t="inlineStr">
        <is>
          <t>VÄSTERBOTTENS LÄN</t>
        </is>
      </c>
      <c r="E143" t="inlineStr">
        <is>
          <t>SORSELE</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45395-2025</t>
        </is>
      </c>
      <c r="B144" s="1" t="n">
        <v>45922.40936342593</v>
      </c>
      <c r="C144" s="1" t="n">
        <v>46189</v>
      </c>
      <c r="D144" t="inlineStr">
        <is>
          <t>VÄSTERBOTTENS LÄN</t>
        </is>
      </c>
      <c r="E144" t="inlineStr">
        <is>
          <t>SORSELE</t>
        </is>
      </c>
      <c r="G144" t="n">
        <v>11.2</v>
      </c>
      <c r="H144" t="n">
        <v>0</v>
      </c>
      <c r="I144" t="n">
        <v>0</v>
      </c>
      <c r="J144" t="n">
        <v>0</v>
      </c>
      <c r="K144" t="n">
        <v>0</v>
      </c>
      <c r="L144" t="n">
        <v>0</v>
      </c>
      <c r="M144" t="n">
        <v>0</v>
      </c>
      <c r="N144" t="n">
        <v>0</v>
      </c>
      <c r="O144" t="n">
        <v>0</v>
      </c>
      <c r="P144" t="n">
        <v>0</v>
      </c>
      <c r="Q144" t="n">
        <v>0</v>
      </c>
      <c r="R144" s="2" t="inlineStr"/>
    </row>
    <row r="145" ht="15" customHeight="1">
      <c r="A145" t="inlineStr">
        <is>
          <t>A 38944-2024</t>
        </is>
      </c>
      <c r="B145" s="1" t="n">
        <v>45548.34501157407</v>
      </c>
      <c r="C145" s="1" t="n">
        <v>46189</v>
      </c>
      <c r="D145" t="inlineStr">
        <is>
          <t>VÄSTERBOTTENS LÄN</t>
        </is>
      </c>
      <c r="E145" t="inlineStr">
        <is>
          <t>SORSELE</t>
        </is>
      </c>
      <c r="F145" t="inlineStr">
        <is>
          <t>SCA</t>
        </is>
      </c>
      <c r="G145" t="n">
        <v>7</v>
      </c>
      <c r="H145" t="n">
        <v>0</v>
      </c>
      <c r="I145" t="n">
        <v>0</v>
      </c>
      <c r="J145" t="n">
        <v>0</v>
      </c>
      <c r="K145" t="n">
        <v>0</v>
      </c>
      <c r="L145" t="n">
        <v>0</v>
      </c>
      <c r="M145" t="n">
        <v>0</v>
      </c>
      <c r="N145" t="n">
        <v>0</v>
      </c>
      <c r="O145" t="n">
        <v>0</v>
      </c>
      <c r="P145" t="n">
        <v>0</v>
      </c>
      <c r="Q145" t="n">
        <v>0</v>
      </c>
      <c r="R145" s="2" t="inlineStr"/>
    </row>
    <row r="146" ht="15" customHeight="1">
      <c r="A146" t="inlineStr">
        <is>
          <t>A 46798-2025</t>
        </is>
      </c>
      <c r="B146" s="1" t="n">
        <v>45926.65700231482</v>
      </c>
      <c r="C146" s="1" t="n">
        <v>46189</v>
      </c>
      <c r="D146" t="inlineStr">
        <is>
          <t>VÄSTERBOTTENS LÄN</t>
        </is>
      </c>
      <c r="E146" t="inlineStr">
        <is>
          <t>SORSELE</t>
        </is>
      </c>
      <c r="G146" t="n">
        <v>5.8</v>
      </c>
      <c r="H146" t="n">
        <v>0</v>
      </c>
      <c r="I146" t="n">
        <v>0</v>
      </c>
      <c r="J146" t="n">
        <v>0</v>
      </c>
      <c r="K146" t="n">
        <v>0</v>
      </c>
      <c r="L146" t="n">
        <v>0</v>
      </c>
      <c r="M146" t="n">
        <v>0</v>
      </c>
      <c r="N146" t="n">
        <v>0</v>
      </c>
      <c r="O146" t="n">
        <v>0</v>
      </c>
      <c r="P146" t="n">
        <v>0</v>
      </c>
      <c r="Q146" t="n">
        <v>0</v>
      </c>
      <c r="R146" s="2" t="inlineStr"/>
    </row>
    <row r="147" ht="15" customHeight="1">
      <c r="A147" t="inlineStr">
        <is>
          <t>A 43388-2024</t>
        </is>
      </c>
      <c r="B147" s="1" t="n">
        <v>45568</v>
      </c>
      <c r="C147" s="1" t="n">
        <v>46189</v>
      </c>
      <c r="D147" t="inlineStr">
        <is>
          <t>VÄSTERBOTTENS LÄN</t>
        </is>
      </c>
      <c r="E147" t="inlineStr">
        <is>
          <t>SORSELE</t>
        </is>
      </c>
      <c r="G147" t="n">
        <v>17</v>
      </c>
      <c r="H147" t="n">
        <v>0</v>
      </c>
      <c r="I147" t="n">
        <v>0</v>
      </c>
      <c r="J147" t="n">
        <v>0</v>
      </c>
      <c r="K147" t="n">
        <v>0</v>
      </c>
      <c r="L147" t="n">
        <v>0</v>
      </c>
      <c r="M147" t="n">
        <v>0</v>
      </c>
      <c r="N147" t="n">
        <v>0</v>
      </c>
      <c r="O147" t="n">
        <v>0</v>
      </c>
      <c r="P147" t="n">
        <v>0</v>
      </c>
      <c r="Q147" t="n">
        <v>0</v>
      </c>
      <c r="R147" s="2" t="inlineStr"/>
    </row>
    <row r="148" ht="15" customHeight="1">
      <c r="A148" t="inlineStr">
        <is>
          <t>A 61967-2022</t>
        </is>
      </c>
      <c r="B148" s="1" t="n">
        <v>44918.35616898148</v>
      </c>
      <c r="C148" s="1" t="n">
        <v>46189</v>
      </c>
      <c r="D148" t="inlineStr">
        <is>
          <t>VÄSTERBOTTENS LÄN</t>
        </is>
      </c>
      <c r="E148" t="inlineStr">
        <is>
          <t>SORSELE</t>
        </is>
      </c>
      <c r="F148" t="inlineStr">
        <is>
          <t>Sveaskog</t>
        </is>
      </c>
      <c r="G148" t="n">
        <v>17.5</v>
      </c>
      <c r="H148" t="n">
        <v>0</v>
      </c>
      <c r="I148" t="n">
        <v>0</v>
      </c>
      <c r="J148" t="n">
        <v>0</v>
      </c>
      <c r="K148" t="n">
        <v>0</v>
      </c>
      <c r="L148" t="n">
        <v>0</v>
      </c>
      <c r="M148" t="n">
        <v>0</v>
      </c>
      <c r="N148" t="n">
        <v>0</v>
      </c>
      <c r="O148" t="n">
        <v>0</v>
      </c>
      <c r="P148" t="n">
        <v>0</v>
      </c>
      <c r="Q148" t="n">
        <v>0</v>
      </c>
      <c r="R148" s="2" t="inlineStr"/>
    </row>
    <row r="149" ht="15" customHeight="1">
      <c r="A149" t="inlineStr">
        <is>
          <t>A 47660-2025</t>
        </is>
      </c>
      <c r="B149" s="1" t="n">
        <v>45931.56010416667</v>
      </c>
      <c r="C149" s="1" t="n">
        <v>46189</v>
      </c>
      <c r="D149" t="inlineStr">
        <is>
          <t>VÄSTERBOTTENS LÄN</t>
        </is>
      </c>
      <c r="E149" t="inlineStr">
        <is>
          <t>SORSELE</t>
        </is>
      </c>
      <c r="G149" t="n">
        <v>4.9</v>
      </c>
      <c r="H149" t="n">
        <v>0</v>
      </c>
      <c r="I149" t="n">
        <v>0</v>
      </c>
      <c r="J149" t="n">
        <v>0</v>
      </c>
      <c r="K149" t="n">
        <v>0</v>
      </c>
      <c r="L149" t="n">
        <v>0</v>
      </c>
      <c r="M149" t="n">
        <v>0</v>
      </c>
      <c r="N149" t="n">
        <v>0</v>
      </c>
      <c r="O149" t="n">
        <v>0</v>
      </c>
      <c r="P149" t="n">
        <v>0</v>
      </c>
      <c r="Q149" t="n">
        <v>0</v>
      </c>
      <c r="R149" s="2" t="inlineStr"/>
    </row>
    <row r="150" ht="15" customHeight="1">
      <c r="A150" t="inlineStr">
        <is>
          <t>A 47740-2025</t>
        </is>
      </c>
      <c r="B150" s="1" t="n">
        <v>45931.6437962963</v>
      </c>
      <c r="C150" s="1" t="n">
        <v>46189</v>
      </c>
      <c r="D150" t="inlineStr">
        <is>
          <t>VÄSTERBOTTENS LÄN</t>
        </is>
      </c>
      <c r="E150" t="inlineStr">
        <is>
          <t>SORSELE</t>
        </is>
      </c>
      <c r="G150" t="n">
        <v>1.4</v>
      </c>
      <c r="H150" t="n">
        <v>0</v>
      </c>
      <c r="I150" t="n">
        <v>0</v>
      </c>
      <c r="J150" t="n">
        <v>0</v>
      </c>
      <c r="K150" t="n">
        <v>0</v>
      </c>
      <c r="L150" t="n">
        <v>0</v>
      </c>
      <c r="M150" t="n">
        <v>0</v>
      </c>
      <c r="N150" t="n">
        <v>0</v>
      </c>
      <c r="O150" t="n">
        <v>0</v>
      </c>
      <c r="P150" t="n">
        <v>0</v>
      </c>
      <c r="Q150" t="n">
        <v>0</v>
      </c>
      <c r="R150" s="2" t="inlineStr"/>
    </row>
    <row r="151" ht="15" customHeight="1">
      <c r="A151" t="inlineStr">
        <is>
          <t>A 15231-2024</t>
        </is>
      </c>
      <c r="B151" s="1" t="n">
        <v>45400</v>
      </c>
      <c r="C151" s="1" t="n">
        <v>46189</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61030-2022</t>
        </is>
      </c>
      <c r="B152" s="1" t="n">
        <v>44914</v>
      </c>
      <c r="C152" s="1" t="n">
        <v>46189</v>
      </c>
      <c r="D152" t="inlineStr">
        <is>
          <t>VÄSTERBOTTENS LÄN</t>
        </is>
      </c>
      <c r="E152" t="inlineStr">
        <is>
          <t>SORSELE</t>
        </is>
      </c>
      <c r="G152" t="n">
        <v>2.6</v>
      </c>
      <c r="H152" t="n">
        <v>0</v>
      </c>
      <c r="I152" t="n">
        <v>0</v>
      </c>
      <c r="J152" t="n">
        <v>0</v>
      </c>
      <c r="K152" t="n">
        <v>0</v>
      </c>
      <c r="L152" t="n">
        <v>0</v>
      </c>
      <c r="M152" t="n">
        <v>0</v>
      </c>
      <c r="N152" t="n">
        <v>0</v>
      </c>
      <c r="O152" t="n">
        <v>0</v>
      </c>
      <c r="P152" t="n">
        <v>0</v>
      </c>
      <c r="Q152" t="n">
        <v>0</v>
      </c>
      <c r="R152" s="2" t="inlineStr"/>
    </row>
    <row r="153" ht="15" customHeight="1">
      <c r="A153" t="inlineStr">
        <is>
          <t>A 22657-2024</t>
        </is>
      </c>
      <c r="B153" s="1" t="n">
        <v>45447</v>
      </c>
      <c r="C153" s="1" t="n">
        <v>46189</v>
      </c>
      <c r="D153" t="inlineStr">
        <is>
          <t>VÄSTERBOTTENS LÄN</t>
        </is>
      </c>
      <c r="E153" t="inlineStr">
        <is>
          <t>SORSELE</t>
        </is>
      </c>
      <c r="G153" t="n">
        <v>0.9</v>
      </c>
      <c r="H153" t="n">
        <v>0</v>
      </c>
      <c r="I153" t="n">
        <v>0</v>
      </c>
      <c r="J153" t="n">
        <v>0</v>
      </c>
      <c r="K153" t="n">
        <v>0</v>
      </c>
      <c r="L153" t="n">
        <v>0</v>
      </c>
      <c r="M153" t="n">
        <v>0</v>
      </c>
      <c r="N153" t="n">
        <v>0</v>
      </c>
      <c r="O153" t="n">
        <v>0</v>
      </c>
      <c r="P153" t="n">
        <v>0</v>
      </c>
      <c r="Q153" t="n">
        <v>0</v>
      </c>
      <c r="R153" s="2" t="inlineStr"/>
    </row>
    <row r="154" ht="15" customHeight="1">
      <c r="A154" t="inlineStr">
        <is>
          <t>A 32880-2023</t>
        </is>
      </c>
      <c r="B154" s="1" t="n">
        <v>45124</v>
      </c>
      <c r="C154" s="1" t="n">
        <v>46189</v>
      </c>
      <c r="D154" t="inlineStr">
        <is>
          <t>VÄSTERBOTTENS LÄN</t>
        </is>
      </c>
      <c r="E154" t="inlineStr">
        <is>
          <t>SORSELE</t>
        </is>
      </c>
      <c r="G154" t="n">
        <v>2.4</v>
      </c>
      <c r="H154" t="n">
        <v>0</v>
      </c>
      <c r="I154" t="n">
        <v>0</v>
      </c>
      <c r="J154" t="n">
        <v>0</v>
      </c>
      <c r="K154" t="n">
        <v>0</v>
      </c>
      <c r="L154" t="n">
        <v>0</v>
      </c>
      <c r="M154" t="n">
        <v>0</v>
      </c>
      <c r="N154" t="n">
        <v>0</v>
      </c>
      <c r="O154" t="n">
        <v>0</v>
      </c>
      <c r="P154" t="n">
        <v>0</v>
      </c>
      <c r="Q154" t="n">
        <v>0</v>
      </c>
      <c r="R154" s="2" t="inlineStr"/>
    </row>
    <row r="155" ht="15" customHeight="1">
      <c r="A155" t="inlineStr">
        <is>
          <t>A 566-2025</t>
        </is>
      </c>
      <c r="B155" s="1" t="n">
        <v>45660</v>
      </c>
      <c r="C155" s="1" t="n">
        <v>46189</v>
      </c>
      <c r="D155" t="inlineStr">
        <is>
          <t>VÄSTERBOTTENS LÄN</t>
        </is>
      </c>
      <c r="E155" t="inlineStr">
        <is>
          <t>SORSELE</t>
        </is>
      </c>
      <c r="G155" t="n">
        <v>6.7</v>
      </c>
      <c r="H155" t="n">
        <v>0</v>
      </c>
      <c r="I155" t="n">
        <v>0</v>
      </c>
      <c r="J155" t="n">
        <v>0</v>
      </c>
      <c r="K155" t="n">
        <v>0</v>
      </c>
      <c r="L155" t="n">
        <v>0</v>
      </c>
      <c r="M155" t="n">
        <v>0</v>
      </c>
      <c r="N155" t="n">
        <v>0</v>
      </c>
      <c r="O155" t="n">
        <v>0</v>
      </c>
      <c r="P155" t="n">
        <v>0</v>
      </c>
      <c r="Q155" t="n">
        <v>0</v>
      </c>
      <c r="R155" s="2" t="inlineStr"/>
    </row>
    <row r="156" ht="15" customHeight="1">
      <c r="A156" t="inlineStr">
        <is>
          <t>A 72886-2021</t>
        </is>
      </c>
      <c r="B156" s="1" t="n">
        <v>44546</v>
      </c>
      <c r="C156" s="1" t="n">
        <v>46189</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60896-2021</t>
        </is>
      </c>
      <c r="B157" s="1" t="n">
        <v>44496</v>
      </c>
      <c r="C157" s="1" t="n">
        <v>46189</v>
      </c>
      <c r="D157" t="inlineStr">
        <is>
          <t>VÄSTERBOTTENS LÄN</t>
        </is>
      </c>
      <c r="E157" t="inlineStr">
        <is>
          <t>SORSELE</t>
        </is>
      </c>
      <c r="G157" t="n">
        <v>5</v>
      </c>
      <c r="H157" t="n">
        <v>0</v>
      </c>
      <c r="I157" t="n">
        <v>0</v>
      </c>
      <c r="J157" t="n">
        <v>0</v>
      </c>
      <c r="K157" t="n">
        <v>0</v>
      </c>
      <c r="L157" t="n">
        <v>0</v>
      </c>
      <c r="M157" t="n">
        <v>0</v>
      </c>
      <c r="N157" t="n">
        <v>0</v>
      </c>
      <c r="O157" t="n">
        <v>0</v>
      </c>
      <c r="P157" t="n">
        <v>0</v>
      </c>
      <c r="Q157" t="n">
        <v>0</v>
      </c>
      <c r="R157" s="2" t="inlineStr"/>
    </row>
    <row r="158" ht="15" customHeight="1">
      <c r="A158" t="inlineStr">
        <is>
          <t>A 48045-2024</t>
        </is>
      </c>
      <c r="B158" s="1" t="n">
        <v>45589</v>
      </c>
      <c r="C158" s="1" t="n">
        <v>46189</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52213-2025</t>
        </is>
      </c>
      <c r="B159" s="1" t="n">
        <v>45953.42744212963</v>
      </c>
      <c r="C159" s="1" t="n">
        <v>46189</v>
      </c>
      <c r="D159" t="inlineStr">
        <is>
          <t>VÄSTERBOTTENS LÄN</t>
        </is>
      </c>
      <c r="E159" t="inlineStr">
        <is>
          <t>SORSELE</t>
        </is>
      </c>
      <c r="G159" t="n">
        <v>4.9</v>
      </c>
      <c r="H159" t="n">
        <v>0</v>
      </c>
      <c r="I159" t="n">
        <v>0</v>
      </c>
      <c r="J159" t="n">
        <v>0</v>
      </c>
      <c r="K159" t="n">
        <v>0</v>
      </c>
      <c r="L159" t="n">
        <v>0</v>
      </c>
      <c r="M159" t="n">
        <v>0</v>
      </c>
      <c r="N159" t="n">
        <v>0</v>
      </c>
      <c r="O159" t="n">
        <v>0</v>
      </c>
      <c r="P159" t="n">
        <v>0</v>
      </c>
      <c r="Q159" t="n">
        <v>0</v>
      </c>
      <c r="R159" s="2" t="inlineStr"/>
    </row>
    <row r="160" ht="15" customHeight="1">
      <c r="A160" t="inlineStr">
        <is>
          <t>A 52215-2025</t>
        </is>
      </c>
      <c r="B160" s="1" t="n">
        <v>45953.42755787037</v>
      </c>
      <c r="C160" s="1" t="n">
        <v>46189</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16883-2023</t>
        </is>
      </c>
      <c r="B161" s="1" t="n">
        <v>45029</v>
      </c>
      <c r="C161" s="1" t="n">
        <v>46189</v>
      </c>
      <c r="D161" t="inlineStr">
        <is>
          <t>VÄSTERBOTTENS LÄN</t>
        </is>
      </c>
      <c r="E161" t="inlineStr">
        <is>
          <t>SORSELE</t>
        </is>
      </c>
      <c r="G161" t="n">
        <v>5</v>
      </c>
      <c r="H161" t="n">
        <v>0</v>
      </c>
      <c r="I161" t="n">
        <v>0</v>
      </c>
      <c r="J161" t="n">
        <v>0</v>
      </c>
      <c r="K161" t="n">
        <v>0</v>
      </c>
      <c r="L161" t="n">
        <v>0</v>
      </c>
      <c r="M161" t="n">
        <v>0</v>
      </c>
      <c r="N161" t="n">
        <v>0</v>
      </c>
      <c r="O161" t="n">
        <v>0</v>
      </c>
      <c r="P161" t="n">
        <v>0</v>
      </c>
      <c r="Q161" t="n">
        <v>0</v>
      </c>
      <c r="R161" s="2" t="inlineStr"/>
    </row>
    <row r="162" ht="15" customHeight="1">
      <c r="A162" t="inlineStr">
        <is>
          <t>A 72894-2021</t>
        </is>
      </c>
      <c r="B162" s="1" t="n">
        <v>44546</v>
      </c>
      <c r="C162" s="1" t="n">
        <v>46189</v>
      </c>
      <c r="D162" t="inlineStr">
        <is>
          <t>VÄSTERBOTTENS LÄN</t>
        </is>
      </c>
      <c r="E162" t="inlineStr">
        <is>
          <t>SORSELE</t>
        </is>
      </c>
      <c r="G162" t="n">
        <v>2.6</v>
      </c>
      <c r="H162" t="n">
        <v>0</v>
      </c>
      <c r="I162" t="n">
        <v>0</v>
      </c>
      <c r="J162" t="n">
        <v>0</v>
      </c>
      <c r="K162" t="n">
        <v>0</v>
      </c>
      <c r="L162" t="n">
        <v>0</v>
      </c>
      <c r="M162" t="n">
        <v>0</v>
      </c>
      <c r="N162" t="n">
        <v>0</v>
      </c>
      <c r="O162" t="n">
        <v>0</v>
      </c>
      <c r="P162" t="n">
        <v>0</v>
      </c>
      <c r="Q162" t="n">
        <v>0</v>
      </c>
      <c r="R162" s="2" t="inlineStr"/>
    </row>
    <row r="163" ht="15" customHeight="1">
      <c r="A163" t="inlineStr">
        <is>
          <t>A 59730-2024</t>
        </is>
      </c>
      <c r="B163" s="1" t="n">
        <v>45639</v>
      </c>
      <c r="C163" s="1" t="n">
        <v>46189</v>
      </c>
      <c r="D163" t="inlineStr">
        <is>
          <t>VÄSTERBOTTENS LÄN</t>
        </is>
      </c>
      <c r="E163" t="inlineStr">
        <is>
          <t>SORSELE</t>
        </is>
      </c>
      <c r="G163" t="n">
        <v>68.2</v>
      </c>
      <c r="H163" t="n">
        <v>0</v>
      </c>
      <c r="I163" t="n">
        <v>0</v>
      </c>
      <c r="J163" t="n">
        <v>0</v>
      </c>
      <c r="K163" t="n">
        <v>0</v>
      </c>
      <c r="L163" t="n">
        <v>0</v>
      </c>
      <c r="M163" t="n">
        <v>0</v>
      </c>
      <c r="N163" t="n">
        <v>0</v>
      </c>
      <c r="O163" t="n">
        <v>0</v>
      </c>
      <c r="P163" t="n">
        <v>0</v>
      </c>
      <c r="Q163" t="n">
        <v>0</v>
      </c>
      <c r="R163" s="2" t="inlineStr"/>
    </row>
    <row r="164" ht="15" customHeight="1">
      <c r="A164" t="inlineStr">
        <is>
          <t>A 53347-2025</t>
        </is>
      </c>
      <c r="B164" s="1" t="n">
        <v>45959.43278935185</v>
      </c>
      <c r="C164" s="1" t="n">
        <v>46189</v>
      </c>
      <c r="D164" t="inlineStr">
        <is>
          <t>VÄSTERBOTTENS LÄN</t>
        </is>
      </c>
      <c r="E164" t="inlineStr">
        <is>
          <t>SORSELE</t>
        </is>
      </c>
      <c r="F164" t="inlineStr">
        <is>
          <t>Sveaskog</t>
        </is>
      </c>
      <c r="G164" t="n">
        <v>57.3</v>
      </c>
      <c r="H164" t="n">
        <v>0</v>
      </c>
      <c r="I164" t="n">
        <v>0</v>
      </c>
      <c r="J164" t="n">
        <v>0</v>
      </c>
      <c r="K164" t="n">
        <v>0</v>
      </c>
      <c r="L164" t="n">
        <v>0</v>
      </c>
      <c r="M164" t="n">
        <v>0</v>
      </c>
      <c r="N164" t="n">
        <v>0</v>
      </c>
      <c r="O164" t="n">
        <v>0</v>
      </c>
      <c r="P164" t="n">
        <v>0</v>
      </c>
      <c r="Q164" t="n">
        <v>0</v>
      </c>
      <c r="R164" s="2" t="inlineStr"/>
    </row>
    <row r="165" ht="15" customHeight="1">
      <c r="A165" t="inlineStr">
        <is>
          <t>A 53348-2025</t>
        </is>
      </c>
      <c r="B165" s="1" t="n">
        <v>45959.43510416667</v>
      </c>
      <c r="C165" s="1" t="n">
        <v>46189</v>
      </c>
      <c r="D165" t="inlineStr">
        <is>
          <t>VÄSTERBOTTENS LÄN</t>
        </is>
      </c>
      <c r="E165" t="inlineStr">
        <is>
          <t>SORSELE</t>
        </is>
      </c>
      <c r="F165" t="inlineStr">
        <is>
          <t>Sveaskog</t>
        </is>
      </c>
      <c r="G165" t="n">
        <v>20.6</v>
      </c>
      <c r="H165" t="n">
        <v>0</v>
      </c>
      <c r="I165" t="n">
        <v>0</v>
      </c>
      <c r="J165" t="n">
        <v>0</v>
      </c>
      <c r="K165" t="n">
        <v>0</v>
      </c>
      <c r="L165" t="n">
        <v>0</v>
      </c>
      <c r="M165" t="n">
        <v>0</v>
      </c>
      <c r="N165" t="n">
        <v>0</v>
      </c>
      <c r="O165" t="n">
        <v>0</v>
      </c>
      <c r="P165" t="n">
        <v>0</v>
      </c>
      <c r="Q165" t="n">
        <v>0</v>
      </c>
      <c r="R165" s="2" t="inlineStr"/>
    </row>
    <row r="166" ht="15" customHeight="1">
      <c r="A166" t="inlineStr">
        <is>
          <t>A 53857-2025</t>
        </is>
      </c>
      <c r="B166" s="1" t="n">
        <v>45961.37615740741</v>
      </c>
      <c r="C166" s="1" t="n">
        <v>46189</v>
      </c>
      <c r="D166" t="inlineStr">
        <is>
          <t>VÄSTERBOTTENS LÄN</t>
        </is>
      </c>
      <c r="E166" t="inlineStr">
        <is>
          <t>SORSELE</t>
        </is>
      </c>
      <c r="G166" t="n">
        <v>5.1</v>
      </c>
      <c r="H166" t="n">
        <v>0</v>
      </c>
      <c r="I166" t="n">
        <v>0</v>
      </c>
      <c r="J166" t="n">
        <v>0</v>
      </c>
      <c r="K166" t="n">
        <v>0</v>
      </c>
      <c r="L166" t="n">
        <v>0</v>
      </c>
      <c r="M166" t="n">
        <v>0</v>
      </c>
      <c r="N166" t="n">
        <v>0</v>
      </c>
      <c r="O166" t="n">
        <v>0</v>
      </c>
      <c r="P166" t="n">
        <v>0</v>
      </c>
      <c r="Q166" t="n">
        <v>0</v>
      </c>
      <c r="R166" s="2" t="inlineStr"/>
    </row>
    <row r="167" ht="15" customHeight="1">
      <c r="A167" t="inlineStr">
        <is>
          <t>A 10793-2023</t>
        </is>
      </c>
      <c r="B167" s="1" t="n">
        <v>44989.40244212963</v>
      </c>
      <c r="C167" s="1" t="n">
        <v>46189</v>
      </c>
      <c r="D167" t="inlineStr">
        <is>
          <t>VÄSTERBOTTENS LÄN</t>
        </is>
      </c>
      <c r="E167" t="inlineStr">
        <is>
          <t>SORSELE</t>
        </is>
      </c>
      <c r="G167" t="n">
        <v>0.8</v>
      </c>
      <c r="H167" t="n">
        <v>0</v>
      </c>
      <c r="I167" t="n">
        <v>0</v>
      </c>
      <c r="J167" t="n">
        <v>0</v>
      </c>
      <c r="K167" t="n">
        <v>0</v>
      </c>
      <c r="L167" t="n">
        <v>0</v>
      </c>
      <c r="M167" t="n">
        <v>0</v>
      </c>
      <c r="N167" t="n">
        <v>0</v>
      </c>
      <c r="O167" t="n">
        <v>0</v>
      </c>
      <c r="P167" t="n">
        <v>0</v>
      </c>
      <c r="Q167" t="n">
        <v>0</v>
      </c>
      <c r="R167" s="2" t="inlineStr"/>
    </row>
    <row r="168" ht="15" customHeight="1">
      <c r="A168" t="inlineStr">
        <is>
          <t>A 20850-2023</t>
        </is>
      </c>
      <c r="B168" s="1" t="n">
        <v>45056</v>
      </c>
      <c r="C168" s="1" t="n">
        <v>46189</v>
      </c>
      <c r="D168" t="inlineStr">
        <is>
          <t>VÄSTERBOTTENS LÄN</t>
        </is>
      </c>
      <c r="E168" t="inlineStr">
        <is>
          <t>SORSELE</t>
        </is>
      </c>
      <c r="G168" t="n">
        <v>5.3</v>
      </c>
      <c r="H168" t="n">
        <v>0</v>
      </c>
      <c r="I168" t="n">
        <v>0</v>
      </c>
      <c r="J168" t="n">
        <v>0</v>
      </c>
      <c r="K168" t="n">
        <v>0</v>
      </c>
      <c r="L168" t="n">
        <v>0</v>
      </c>
      <c r="M168" t="n">
        <v>0</v>
      </c>
      <c r="N168" t="n">
        <v>0</v>
      </c>
      <c r="O168" t="n">
        <v>0</v>
      </c>
      <c r="P168" t="n">
        <v>0</v>
      </c>
      <c r="Q168" t="n">
        <v>0</v>
      </c>
      <c r="R168" s="2" t="inlineStr"/>
    </row>
    <row r="169" ht="15" customHeight="1">
      <c r="A169" t="inlineStr">
        <is>
          <t>A 33235-2024</t>
        </is>
      </c>
      <c r="B169" s="1" t="n">
        <v>45518.58706018519</v>
      </c>
      <c r="C169" s="1" t="n">
        <v>46189</v>
      </c>
      <c r="D169" t="inlineStr">
        <is>
          <t>VÄSTERBOTTENS LÄN</t>
        </is>
      </c>
      <c r="E169" t="inlineStr">
        <is>
          <t>SORSELE</t>
        </is>
      </c>
      <c r="G169" t="n">
        <v>3.8</v>
      </c>
      <c r="H169" t="n">
        <v>0</v>
      </c>
      <c r="I169" t="n">
        <v>0</v>
      </c>
      <c r="J169" t="n">
        <v>0</v>
      </c>
      <c r="K169" t="n">
        <v>0</v>
      </c>
      <c r="L169" t="n">
        <v>0</v>
      </c>
      <c r="M169" t="n">
        <v>0</v>
      </c>
      <c r="N169" t="n">
        <v>0</v>
      </c>
      <c r="O169" t="n">
        <v>0</v>
      </c>
      <c r="P169" t="n">
        <v>0</v>
      </c>
      <c r="Q169" t="n">
        <v>0</v>
      </c>
      <c r="R169" s="2" t="inlineStr"/>
    </row>
    <row r="170" ht="15" customHeight="1">
      <c r="A170" t="inlineStr">
        <is>
          <t>A 54733-2025</t>
        </is>
      </c>
      <c r="B170" s="1" t="n">
        <v>45966.56216435185</v>
      </c>
      <c r="C170" s="1" t="n">
        <v>46189</v>
      </c>
      <c r="D170" t="inlineStr">
        <is>
          <t>VÄSTERBOTTENS LÄN</t>
        </is>
      </c>
      <c r="E170" t="inlineStr">
        <is>
          <t>SORSELE</t>
        </is>
      </c>
      <c r="F170" t="inlineStr">
        <is>
          <t>Sveaskog</t>
        </is>
      </c>
      <c r="G170" t="n">
        <v>17.4</v>
      </c>
      <c r="H170" t="n">
        <v>0</v>
      </c>
      <c r="I170" t="n">
        <v>0</v>
      </c>
      <c r="J170" t="n">
        <v>0</v>
      </c>
      <c r="K170" t="n">
        <v>0</v>
      </c>
      <c r="L170" t="n">
        <v>0</v>
      </c>
      <c r="M170" t="n">
        <v>0</v>
      </c>
      <c r="N170" t="n">
        <v>0</v>
      </c>
      <c r="O170" t="n">
        <v>0</v>
      </c>
      <c r="P170" t="n">
        <v>0</v>
      </c>
      <c r="Q170" t="n">
        <v>0</v>
      </c>
      <c r="R170" s="2" t="inlineStr"/>
    </row>
    <row r="171" ht="15" customHeight="1">
      <c r="A171" t="inlineStr">
        <is>
          <t>A 54739-2025</t>
        </is>
      </c>
      <c r="B171" s="1" t="n">
        <v>45966.56943287037</v>
      </c>
      <c r="C171" s="1" t="n">
        <v>46189</v>
      </c>
      <c r="D171" t="inlineStr">
        <is>
          <t>VÄSTERBOTTENS LÄN</t>
        </is>
      </c>
      <c r="E171" t="inlineStr">
        <is>
          <t>SORSELE</t>
        </is>
      </c>
      <c r="F171" t="inlineStr">
        <is>
          <t>Sveaskog</t>
        </is>
      </c>
      <c r="G171" t="n">
        <v>21.1</v>
      </c>
      <c r="H171" t="n">
        <v>0</v>
      </c>
      <c r="I171" t="n">
        <v>0</v>
      </c>
      <c r="J171" t="n">
        <v>0</v>
      </c>
      <c r="K171" t="n">
        <v>0</v>
      </c>
      <c r="L171" t="n">
        <v>0</v>
      </c>
      <c r="M171" t="n">
        <v>0</v>
      </c>
      <c r="N171" t="n">
        <v>0</v>
      </c>
      <c r="O171" t="n">
        <v>0</v>
      </c>
      <c r="P171" t="n">
        <v>0</v>
      </c>
      <c r="Q171" t="n">
        <v>0</v>
      </c>
      <c r="R171" s="2" t="inlineStr"/>
    </row>
    <row r="172" ht="15" customHeight="1">
      <c r="A172" t="inlineStr">
        <is>
          <t>A 37816-2023</t>
        </is>
      </c>
      <c r="B172" s="1" t="n">
        <v>45159.94234953704</v>
      </c>
      <c r="C172" s="1" t="n">
        <v>46189</v>
      </c>
      <c r="D172" t="inlineStr">
        <is>
          <t>VÄSTERBOTTENS LÄN</t>
        </is>
      </c>
      <c r="E172" t="inlineStr">
        <is>
          <t>SORSELE</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42749-2023</t>
        </is>
      </c>
      <c r="B173" s="1" t="n">
        <v>45177</v>
      </c>
      <c r="C173" s="1" t="n">
        <v>46189</v>
      </c>
      <c r="D173" t="inlineStr">
        <is>
          <t>VÄSTERBOTTENS LÄN</t>
        </is>
      </c>
      <c r="E173" t="inlineStr">
        <is>
          <t>SORSELE</t>
        </is>
      </c>
      <c r="G173" t="n">
        <v>4.7</v>
      </c>
      <c r="H173" t="n">
        <v>0</v>
      </c>
      <c r="I173" t="n">
        <v>0</v>
      </c>
      <c r="J173" t="n">
        <v>0</v>
      </c>
      <c r="K173" t="n">
        <v>0</v>
      </c>
      <c r="L173" t="n">
        <v>0</v>
      </c>
      <c r="M173" t="n">
        <v>0</v>
      </c>
      <c r="N173" t="n">
        <v>0</v>
      </c>
      <c r="O173" t="n">
        <v>0</v>
      </c>
      <c r="P173" t="n">
        <v>0</v>
      </c>
      <c r="Q173" t="n">
        <v>0</v>
      </c>
      <c r="R173" s="2" t="inlineStr"/>
    </row>
    <row r="174" ht="15" customHeight="1">
      <c r="A174" t="inlineStr">
        <is>
          <t>A 47887-2023</t>
        </is>
      </c>
      <c r="B174" s="1" t="n">
        <v>45198</v>
      </c>
      <c r="C174" s="1" t="n">
        <v>46189</v>
      </c>
      <c r="D174" t="inlineStr">
        <is>
          <t>VÄSTERBOTTENS LÄN</t>
        </is>
      </c>
      <c r="E174" t="inlineStr">
        <is>
          <t>SORSELE</t>
        </is>
      </c>
      <c r="F174" t="inlineStr">
        <is>
          <t>Övriga statliga verk och myndigheter</t>
        </is>
      </c>
      <c r="G174" t="n">
        <v>20.4</v>
      </c>
      <c r="H174" t="n">
        <v>0</v>
      </c>
      <c r="I174" t="n">
        <v>0</v>
      </c>
      <c r="J174" t="n">
        <v>0</v>
      </c>
      <c r="K174" t="n">
        <v>0</v>
      </c>
      <c r="L174" t="n">
        <v>0</v>
      </c>
      <c r="M174" t="n">
        <v>0</v>
      </c>
      <c r="N174" t="n">
        <v>0</v>
      </c>
      <c r="O174" t="n">
        <v>0</v>
      </c>
      <c r="P174" t="n">
        <v>0</v>
      </c>
      <c r="Q174" t="n">
        <v>0</v>
      </c>
      <c r="R174" s="2" t="inlineStr"/>
    </row>
    <row r="175" ht="15" customHeight="1">
      <c r="A175" t="inlineStr">
        <is>
          <t>A 38290-2024</t>
        </is>
      </c>
      <c r="B175" s="1" t="n">
        <v>45545.616875</v>
      </c>
      <c r="C175" s="1" t="n">
        <v>46189</v>
      </c>
      <c r="D175" t="inlineStr">
        <is>
          <t>VÄSTERBOTTENS LÄN</t>
        </is>
      </c>
      <c r="E175" t="inlineStr">
        <is>
          <t>SORSELE</t>
        </is>
      </c>
      <c r="G175" t="n">
        <v>27.3</v>
      </c>
      <c r="H175" t="n">
        <v>0</v>
      </c>
      <c r="I175" t="n">
        <v>0</v>
      </c>
      <c r="J175" t="n">
        <v>0</v>
      </c>
      <c r="K175" t="n">
        <v>0</v>
      </c>
      <c r="L175" t="n">
        <v>0</v>
      </c>
      <c r="M175" t="n">
        <v>0</v>
      </c>
      <c r="N175" t="n">
        <v>0</v>
      </c>
      <c r="O175" t="n">
        <v>0</v>
      </c>
      <c r="P175" t="n">
        <v>0</v>
      </c>
      <c r="Q175" t="n">
        <v>0</v>
      </c>
      <c r="R175" s="2" t="inlineStr"/>
    </row>
    <row r="176" ht="15" customHeight="1">
      <c r="A176" t="inlineStr">
        <is>
          <t>A 72888-2021</t>
        </is>
      </c>
      <c r="B176" s="1" t="n">
        <v>44546</v>
      </c>
      <c r="C176" s="1" t="n">
        <v>46189</v>
      </c>
      <c r="D176" t="inlineStr">
        <is>
          <t>VÄSTERBOTTENS LÄN</t>
        </is>
      </c>
      <c r="E176" t="inlineStr">
        <is>
          <t>SORSELE</t>
        </is>
      </c>
      <c r="G176" t="n">
        <v>10.7</v>
      </c>
      <c r="H176" t="n">
        <v>0</v>
      </c>
      <c r="I176" t="n">
        <v>0</v>
      </c>
      <c r="J176" t="n">
        <v>0</v>
      </c>
      <c r="K176" t="n">
        <v>0</v>
      </c>
      <c r="L176" t="n">
        <v>0</v>
      </c>
      <c r="M176" t="n">
        <v>0</v>
      </c>
      <c r="N176" t="n">
        <v>0</v>
      </c>
      <c r="O176" t="n">
        <v>0</v>
      </c>
      <c r="P176" t="n">
        <v>0</v>
      </c>
      <c r="Q176" t="n">
        <v>0</v>
      </c>
      <c r="R176" s="2" t="inlineStr"/>
    </row>
    <row r="177" ht="15" customHeight="1">
      <c r="A177" t="inlineStr">
        <is>
          <t>A 72892-2021</t>
        </is>
      </c>
      <c r="B177" s="1" t="n">
        <v>44546</v>
      </c>
      <c r="C177" s="1" t="n">
        <v>46189</v>
      </c>
      <c r="D177" t="inlineStr">
        <is>
          <t>VÄSTERBOTTENS LÄN</t>
        </is>
      </c>
      <c r="E177" t="inlineStr">
        <is>
          <t>SORSELE</t>
        </is>
      </c>
      <c r="G177" t="n">
        <v>7.7</v>
      </c>
      <c r="H177" t="n">
        <v>0</v>
      </c>
      <c r="I177" t="n">
        <v>0</v>
      </c>
      <c r="J177" t="n">
        <v>0</v>
      </c>
      <c r="K177" t="n">
        <v>0</v>
      </c>
      <c r="L177" t="n">
        <v>0</v>
      </c>
      <c r="M177" t="n">
        <v>0</v>
      </c>
      <c r="N177" t="n">
        <v>0</v>
      </c>
      <c r="O177" t="n">
        <v>0</v>
      </c>
      <c r="P177" t="n">
        <v>0</v>
      </c>
      <c r="Q177" t="n">
        <v>0</v>
      </c>
      <c r="R177" s="2" t="inlineStr"/>
    </row>
    <row r="178" ht="15" customHeight="1">
      <c r="A178" t="inlineStr">
        <is>
          <t>A 57534-2025</t>
        </is>
      </c>
      <c r="B178" s="1" t="n">
        <v>45980</v>
      </c>
      <c r="C178" s="1" t="n">
        <v>46189</v>
      </c>
      <c r="D178" t="inlineStr">
        <is>
          <t>VÄSTERBOTTENS LÄN</t>
        </is>
      </c>
      <c r="E178" t="inlineStr">
        <is>
          <t>SORSELE</t>
        </is>
      </c>
      <c r="G178" t="n">
        <v>10.3</v>
      </c>
      <c r="H178" t="n">
        <v>0</v>
      </c>
      <c r="I178" t="n">
        <v>0</v>
      </c>
      <c r="J178" t="n">
        <v>0</v>
      </c>
      <c r="K178" t="n">
        <v>0</v>
      </c>
      <c r="L178" t="n">
        <v>0</v>
      </c>
      <c r="M178" t="n">
        <v>0</v>
      </c>
      <c r="N178" t="n">
        <v>0</v>
      </c>
      <c r="O178" t="n">
        <v>0</v>
      </c>
      <c r="P178" t="n">
        <v>0</v>
      </c>
      <c r="Q178" t="n">
        <v>0</v>
      </c>
      <c r="R178" s="2" t="inlineStr"/>
    </row>
    <row r="179" ht="15" customHeight="1">
      <c r="A179" t="inlineStr">
        <is>
          <t>A 57589-2025</t>
        </is>
      </c>
      <c r="B179" s="1" t="n">
        <v>45980</v>
      </c>
      <c r="C179" s="1" t="n">
        <v>46189</v>
      </c>
      <c r="D179" t="inlineStr">
        <is>
          <t>VÄSTERBOTTENS LÄN</t>
        </is>
      </c>
      <c r="E179" t="inlineStr">
        <is>
          <t>SORSELE</t>
        </is>
      </c>
      <c r="G179" t="n">
        <v>8</v>
      </c>
      <c r="H179" t="n">
        <v>0</v>
      </c>
      <c r="I179" t="n">
        <v>0</v>
      </c>
      <c r="J179" t="n">
        <v>0</v>
      </c>
      <c r="K179" t="n">
        <v>0</v>
      </c>
      <c r="L179" t="n">
        <v>0</v>
      </c>
      <c r="M179" t="n">
        <v>0</v>
      </c>
      <c r="N179" t="n">
        <v>0</v>
      </c>
      <c r="O179" t="n">
        <v>0</v>
      </c>
      <c r="P179" t="n">
        <v>0</v>
      </c>
      <c r="Q179" t="n">
        <v>0</v>
      </c>
      <c r="R179" s="2" t="inlineStr"/>
    </row>
    <row r="180" ht="15" customHeight="1">
      <c r="A180" t="inlineStr">
        <is>
          <t>A 57229-2025</t>
        </is>
      </c>
      <c r="B180" s="1" t="n">
        <v>45979.61703703704</v>
      </c>
      <c r="C180" s="1" t="n">
        <v>46189</v>
      </c>
      <c r="D180" t="inlineStr">
        <is>
          <t>VÄSTERBOTTENS LÄN</t>
        </is>
      </c>
      <c r="E180" t="inlineStr">
        <is>
          <t>SORSELE</t>
        </is>
      </c>
      <c r="G180" t="n">
        <v>4.9</v>
      </c>
      <c r="H180" t="n">
        <v>0</v>
      </c>
      <c r="I180" t="n">
        <v>0</v>
      </c>
      <c r="J180" t="n">
        <v>0</v>
      </c>
      <c r="K180" t="n">
        <v>0</v>
      </c>
      <c r="L180" t="n">
        <v>0</v>
      </c>
      <c r="M180" t="n">
        <v>0</v>
      </c>
      <c r="N180" t="n">
        <v>0</v>
      </c>
      <c r="O180" t="n">
        <v>0</v>
      </c>
      <c r="P180" t="n">
        <v>0</v>
      </c>
      <c r="Q180" t="n">
        <v>0</v>
      </c>
      <c r="R180" s="2" t="inlineStr"/>
    </row>
    <row r="181" ht="15" customHeight="1">
      <c r="A181" t="inlineStr">
        <is>
          <t>A 57590-2025</t>
        </is>
      </c>
      <c r="B181" s="1" t="n">
        <v>45980</v>
      </c>
      <c r="C181" s="1" t="n">
        <v>46189</v>
      </c>
      <c r="D181" t="inlineStr">
        <is>
          <t>VÄSTERBOTTENS LÄN</t>
        </is>
      </c>
      <c r="E181" t="inlineStr">
        <is>
          <t>SORSELE</t>
        </is>
      </c>
      <c r="G181" t="n">
        <v>7</v>
      </c>
      <c r="H181" t="n">
        <v>0</v>
      </c>
      <c r="I181" t="n">
        <v>0</v>
      </c>
      <c r="J181" t="n">
        <v>0</v>
      </c>
      <c r="K181" t="n">
        <v>0</v>
      </c>
      <c r="L181" t="n">
        <v>0</v>
      </c>
      <c r="M181" t="n">
        <v>0</v>
      </c>
      <c r="N181" t="n">
        <v>0</v>
      </c>
      <c r="O181" t="n">
        <v>0</v>
      </c>
      <c r="P181" t="n">
        <v>0</v>
      </c>
      <c r="Q181" t="n">
        <v>0</v>
      </c>
      <c r="R181" s="2" t="inlineStr"/>
    </row>
    <row r="182" ht="15" customHeight="1">
      <c r="A182" t="inlineStr">
        <is>
          <t>A 57204-2025</t>
        </is>
      </c>
      <c r="B182" s="1" t="n">
        <v>45979</v>
      </c>
      <c r="C182" s="1" t="n">
        <v>46189</v>
      </c>
      <c r="D182" t="inlineStr">
        <is>
          <t>VÄSTERBOTTENS LÄN</t>
        </is>
      </c>
      <c r="E182" t="inlineStr">
        <is>
          <t>SORSELE</t>
        </is>
      </c>
      <c r="G182" t="n">
        <v>3.3</v>
      </c>
      <c r="H182" t="n">
        <v>0</v>
      </c>
      <c r="I182" t="n">
        <v>0</v>
      </c>
      <c r="J182" t="n">
        <v>0</v>
      </c>
      <c r="K182" t="n">
        <v>0</v>
      </c>
      <c r="L182" t="n">
        <v>0</v>
      </c>
      <c r="M182" t="n">
        <v>0</v>
      </c>
      <c r="N182" t="n">
        <v>0</v>
      </c>
      <c r="O182" t="n">
        <v>0</v>
      </c>
      <c r="P182" t="n">
        <v>0</v>
      </c>
      <c r="Q182" t="n">
        <v>0</v>
      </c>
      <c r="R182" s="2" t="inlineStr"/>
    </row>
    <row r="183" ht="15" customHeight="1">
      <c r="A183" t="inlineStr">
        <is>
          <t>A 57591-2025</t>
        </is>
      </c>
      <c r="B183" s="1" t="n">
        <v>45980</v>
      </c>
      <c r="C183" s="1" t="n">
        <v>46189</v>
      </c>
      <c r="D183" t="inlineStr">
        <is>
          <t>VÄSTERBOTTENS LÄN</t>
        </is>
      </c>
      <c r="E183" t="inlineStr">
        <is>
          <t>SORSELE</t>
        </is>
      </c>
      <c r="G183" t="n">
        <v>12.4</v>
      </c>
      <c r="H183" t="n">
        <v>0</v>
      </c>
      <c r="I183" t="n">
        <v>0</v>
      </c>
      <c r="J183" t="n">
        <v>0</v>
      </c>
      <c r="K183" t="n">
        <v>0</v>
      </c>
      <c r="L183" t="n">
        <v>0</v>
      </c>
      <c r="M183" t="n">
        <v>0</v>
      </c>
      <c r="N183" t="n">
        <v>0</v>
      </c>
      <c r="O183" t="n">
        <v>0</v>
      </c>
      <c r="P183" t="n">
        <v>0</v>
      </c>
      <c r="Q183" t="n">
        <v>0</v>
      </c>
      <c r="R183" s="2" t="inlineStr"/>
    </row>
    <row r="184" ht="15" customHeight="1">
      <c r="A184" t="inlineStr">
        <is>
          <t>A 57182-2025</t>
        </is>
      </c>
      <c r="B184" s="1" t="n">
        <v>45979</v>
      </c>
      <c r="C184" s="1" t="n">
        <v>46189</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57542-2025</t>
        </is>
      </c>
      <c r="B185" s="1" t="n">
        <v>45980</v>
      </c>
      <c r="C185" s="1" t="n">
        <v>46189</v>
      </c>
      <c r="D185" t="inlineStr">
        <is>
          <t>VÄSTERBOTTENS LÄN</t>
        </is>
      </c>
      <c r="E185" t="inlineStr">
        <is>
          <t>SORSELE</t>
        </is>
      </c>
      <c r="G185" t="n">
        <v>0.4</v>
      </c>
      <c r="H185" t="n">
        <v>0</v>
      </c>
      <c r="I185" t="n">
        <v>0</v>
      </c>
      <c r="J185" t="n">
        <v>0</v>
      </c>
      <c r="K185" t="n">
        <v>0</v>
      </c>
      <c r="L185" t="n">
        <v>0</v>
      </c>
      <c r="M185" t="n">
        <v>0</v>
      </c>
      <c r="N185" t="n">
        <v>0</v>
      </c>
      <c r="O185" t="n">
        <v>0</v>
      </c>
      <c r="P185" t="n">
        <v>0</v>
      </c>
      <c r="Q185" t="n">
        <v>0</v>
      </c>
      <c r="R185" s="2" t="inlineStr"/>
    </row>
    <row r="186" ht="15" customHeight="1">
      <c r="A186" t="inlineStr">
        <is>
          <t>A 58143-2025</t>
        </is>
      </c>
      <c r="B186" s="1" t="n">
        <v>45982.63961805555</v>
      </c>
      <c r="C186" s="1" t="n">
        <v>46189</v>
      </c>
      <c r="D186" t="inlineStr">
        <is>
          <t>VÄSTERBOTTENS LÄN</t>
        </is>
      </c>
      <c r="E186" t="inlineStr">
        <is>
          <t>SORSELE</t>
        </is>
      </c>
      <c r="F186" t="inlineStr">
        <is>
          <t>Övriga statliga verk och myndigheter</t>
        </is>
      </c>
      <c r="G186" t="n">
        <v>13.4</v>
      </c>
      <c r="H186" t="n">
        <v>0</v>
      </c>
      <c r="I186" t="n">
        <v>0</v>
      </c>
      <c r="J186" t="n">
        <v>0</v>
      </c>
      <c r="K186" t="n">
        <v>0</v>
      </c>
      <c r="L186" t="n">
        <v>0</v>
      </c>
      <c r="M186" t="n">
        <v>0</v>
      </c>
      <c r="N186" t="n">
        <v>0</v>
      </c>
      <c r="O186" t="n">
        <v>0</v>
      </c>
      <c r="P186" t="n">
        <v>0</v>
      </c>
      <c r="Q186" t="n">
        <v>0</v>
      </c>
      <c r="R186" s="2" t="inlineStr"/>
    </row>
    <row r="187" ht="15" customHeight="1">
      <c r="A187" t="inlineStr">
        <is>
          <t>A 58145-2025</t>
        </is>
      </c>
      <c r="B187" s="1" t="n">
        <v>45982.64233796296</v>
      </c>
      <c r="C187" s="1" t="n">
        <v>46189</v>
      </c>
      <c r="D187" t="inlineStr">
        <is>
          <t>VÄSTERBOTTENS LÄN</t>
        </is>
      </c>
      <c r="E187" t="inlineStr">
        <is>
          <t>SORSELE</t>
        </is>
      </c>
      <c r="F187" t="inlineStr">
        <is>
          <t>Övriga statliga verk och myndigheter</t>
        </is>
      </c>
      <c r="G187" t="n">
        <v>1.3</v>
      </c>
      <c r="H187" t="n">
        <v>0</v>
      </c>
      <c r="I187" t="n">
        <v>0</v>
      </c>
      <c r="J187" t="n">
        <v>0</v>
      </c>
      <c r="K187" t="n">
        <v>0</v>
      </c>
      <c r="L187" t="n">
        <v>0</v>
      </c>
      <c r="M187" t="n">
        <v>0</v>
      </c>
      <c r="N187" t="n">
        <v>0</v>
      </c>
      <c r="O187" t="n">
        <v>0</v>
      </c>
      <c r="P187" t="n">
        <v>0</v>
      </c>
      <c r="Q187" t="n">
        <v>0</v>
      </c>
      <c r="R187" s="2" t="inlineStr"/>
    </row>
    <row r="188" ht="15" customHeight="1">
      <c r="A188" t="inlineStr">
        <is>
          <t>A 58149-2025</t>
        </is>
      </c>
      <c r="B188" s="1" t="n">
        <v>45982.64745370371</v>
      </c>
      <c r="C188" s="1" t="n">
        <v>46189</v>
      </c>
      <c r="D188" t="inlineStr">
        <is>
          <t>VÄSTERBOTTENS LÄN</t>
        </is>
      </c>
      <c r="E188" t="inlineStr">
        <is>
          <t>SORSELE</t>
        </is>
      </c>
      <c r="F188" t="inlineStr">
        <is>
          <t>Övriga statliga verk och myndigheter</t>
        </is>
      </c>
      <c r="G188" t="n">
        <v>7.6</v>
      </c>
      <c r="H188" t="n">
        <v>0</v>
      </c>
      <c r="I188" t="n">
        <v>0</v>
      </c>
      <c r="J188" t="n">
        <v>0</v>
      </c>
      <c r="K188" t="n">
        <v>0</v>
      </c>
      <c r="L188" t="n">
        <v>0</v>
      </c>
      <c r="M188" t="n">
        <v>0</v>
      </c>
      <c r="N188" t="n">
        <v>0</v>
      </c>
      <c r="O188" t="n">
        <v>0</v>
      </c>
      <c r="P188" t="n">
        <v>0</v>
      </c>
      <c r="Q188" t="n">
        <v>0</v>
      </c>
      <c r="R188" s="2" t="inlineStr"/>
    </row>
    <row r="189" ht="15" customHeight="1">
      <c r="A189" t="inlineStr">
        <is>
          <t>A 37813-2023</t>
        </is>
      </c>
      <c r="B189" s="1" t="n">
        <v>45159</v>
      </c>
      <c r="C189" s="1" t="n">
        <v>46189</v>
      </c>
      <c r="D189" t="inlineStr">
        <is>
          <t>VÄSTERBOTTENS LÄN</t>
        </is>
      </c>
      <c r="E189" t="inlineStr">
        <is>
          <t>SORSELE</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58036-2025</t>
        </is>
      </c>
      <c r="B190" s="1" t="n">
        <v>45982.49006944444</v>
      </c>
      <c r="C190" s="1" t="n">
        <v>46189</v>
      </c>
      <c r="D190" t="inlineStr">
        <is>
          <t>VÄSTERBOTTENS LÄN</t>
        </is>
      </c>
      <c r="E190" t="inlineStr">
        <is>
          <t>SORSELE</t>
        </is>
      </c>
      <c r="G190" t="n">
        <v>5.9</v>
      </c>
      <c r="H190" t="n">
        <v>0</v>
      </c>
      <c r="I190" t="n">
        <v>0</v>
      </c>
      <c r="J190" t="n">
        <v>0</v>
      </c>
      <c r="K190" t="n">
        <v>0</v>
      </c>
      <c r="L190" t="n">
        <v>0</v>
      </c>
      <c r="M190" t="n">
        <v>0</v>
      </c>
      <c r="N190" t="n">
        <v>0</v>
      </c>
      <c r="O190" t="n">
        <v>0</v>
      </c>
      <c r="P190" t="n">
        <v>0</v>
      </c>
      <c r="Q190" t="n">
        <v>0</v>
      </c>
      <c r="R190" s="2" t="inlineStr"/>
    </row>
    <row r="191" ht="15" customHeight="1">
      <c r="A191" t="inlineStr">
        <is>
          <t>A 58146-2025</t>
        </is>
      </c>
      <c r="B191" s="1" t="n">
        <v>45982.6434375</v>
      </c>
      <c r="C191" s="1" t="n">
        <v>46189</v>
      </c>
      <c r="D191" t="inlineStr">
        <is>
          <t>VÄSTERBOTTENS LÄN</t>
        </is>
      </c>
      <c r="E191" t="inlineStr">
        <is>
          <t>SORSELE</t>
        </is>
      </c>
      <c r="F191" t="inlineStr">
        <is>
          <t>Övriga statliga verk och myndigheter</t>
        </is>
      </c>
      <c r="G191" t="n">
        <v>1.3</v>
      </c>
      <c r="H191" t="n">
        <v>0</v>
      </c>
      <c r="I191" t="n">
        <v>0</v>
      </c>
      <c r="J191" t="n">
        <v>0</v>
      </c>
      <c r="K191" t="n">
        <v>0</v>
      </c>
      <c r="L191" t="n">
        <v>0</v>
      </c>
      <c r="M191" t="n">
        <v>0</v>
      </c>
      <c r="N191" t="n">
        <v>0</v>
      </c>
      <c r="O191" t="n">
        <v>0</v>
      </c>
      <c r="P191" t="n">
        <v>0</v>
      </c>
      <c r="Q191" t="n">
        <v>0</v>
      </c>
      <c r="R191" s="2" t="inlineStr"/>
    </row>
    <row r="192" ht="15" customHeight="1">
      <c r="A192" t="inlineStr">
        <is>
          <t>A 58147-2025</t>
        </is>
      </c>
      <c r="B192" s="1" t="n">
        <v>45982.64435185185</v>
      </c>
      <c r="C192" s="1" t="n">
        <v>46189</v>
      </c>
      <c r="D192" t="inlineStr">
        <is>
          <t>VÄSTERBOTTENS LÄN</t>
        </is>
      </c>
      <c r="E192" t="inlineStr">
        <is>
          <t>SORSELE</t>
        </is>
      </c>
      <c r="F192" t="inlineStr">
        <is>
          <t>Övriga statliga verk och myndigheter</t>
        </is>
      </c>
      <c r="G192" t="n">
        <v>2.3</v>
      </c>
      <c r="H192" t="n">
        <v>0</v>
      </c>
      <c r="I192" t="n">
        <v>0</v>
      </c>
      <c r="J192" t="n">
        <v>0</v>
      </c>
      <c r="K192" t="n">
        <v>0</v>
      </c>
      <c r="L192" t="n">
        <v>0</v>
      </c>
      <c r="M192" t="n">
        <v>0</v>
      </c>
      <c r="N192" t="n">
        <v>0</v>
      </c>
      <c r="O192" t="n">
        <v>0</v>
      </c>
      <c r="P192" t="n">
        <v>0</v>
      </c>
      <c r="Q192" t="n">
        <v>0</v>
      </c>
      <c r="R192" s="2" t="inlineStr"/>
    </row>
    <row r="193" ht="15" customHeight="1">
      <c r="A193" t="inlineStr">
        <is>
          <t>A 57923-2025</t>
        </is>
      </c>
      <c r="B193" s="1" t="n">
        <v>45981.82354166666</v>
      </c>
      <c r="C193" s="1" t="n">
        <v>46189</v>
      </c>
      <c r="D193" t="inlineStr">
        <is>
          <t>VÄSTERBOTTENS LÄN</t>
        </is>
      </c>
      <c r="E193" t="inlineStr">
        <is>
          <t>SORSELE</t>
        </is>
      </c>
      <c r="G193" t="n">
        <v>2.4</v>
      </c>
      <c r="H193" t="n">
        <v>0</v>
      </c>
      <c r="I193" t="n">
        <v>0</v>
      </c>
      <c r="J193" t="n">
        <v>0</v>
      </c>
      <c r="K193" t="n">
        <v>0</v>
      </c>
      <c r="L193" t="n">
        <v>0</v>
      </c>
      <c r="M193" t="n">
        <v>0</v>
      </c>
      <c r="N193" t="n">
        <v>0</v>
      </c>
      <c r="O193" t="n">
        <v>0</v>
      </c>
      <c r="P193" t="n">
        <v>0</v>
      </c>
      <c r="Q193" t="n">
        <v>0</v>
      </c>
      <c r="R193" s="2" t="inlineStr"/>
    </row>
    <row r="194" ht="15" customHeight="1">
      <c r="A194" t="inlineStr">
        <is>
          <t>A 58548-2025</t>
        </is>
      </c>
      <c r="B194" s="1" t="n">
        <v>45986.32143518519</v>
      </c>
      <c r="C194" s="1" t="n">
        <v>46189</v>
      </c>
      <c r="D194" t="inlineStr">
        <is>
          <t>VÄSTERBOTTENS LÄN</t>
        </is>
      </c>
      <c r="E194" t="inlineStr">
        <is>
          <t>SORSELE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58635-2025</t>
        </is>
      </c>
      <c r="B195" s="1" t="n">
        <v>45986.48967592593</v>
      </c>
      <c r="C195" s="1" t="n">
        <v>46189</v>
      </c>
      <c r="D195" t="inlineStr">
        <is>
          <t>VÄSTERBOTTENS LÄN</t>
        </is>
      </c>
      <c r="E195" t="inlineStr">
        <is>
          <t>SORSELE</t>
        </is>
      </c>
      <c r="G195" t="n">
        <v>26.4</v>
      </c>
      <c r="H195" t="n">
        <v>0</v>
      </c>
      <c r="I195" t="n">
        <v>0</v>
      </c>
      <c r="J195" t="n">
        <v>0</v>
      </c>
      <c r="K195" t="n">
        <v>0</v>
      </c>
      <c r="L195" t="n">
        <v>0</v>
      </c>
      <c r="M195" t="n">
        <v>0</v>
      </c>
      <c r="N195" t="n">
        <v>0</v>
      </c>
      <c r="O195" t="n">
        <v>0</v>
      </c>
      <c r="P195" t="n">
        <v>0</v>
      </c>
      <c r="Q195" t="n">
        <v>0</v>
      </c>
      <c r="R195" s="2" t="inlineStr"/>
    </row>
    <row r="196" ht="15" customHeight="1">
      <c r="A196" t="inlineStr">
        <is>
          <t>A 58642-2025</t>
        </is>
      </c>
      <c r="B196" s="1" t="n">
        <v>45986.49467592593</v>
      </c>
      <c r="C196" s="1" t="n">
        <v>46189</v>
      </c>
      <c r="D196" t="inlineStr">
        <is>
          <t>VÄSTERBOTTENS LÄN</t>
        </is>
      </c>
      <c r="E196" t="inlineStr">
        <is>
          <t>SORSELE</t>
        </is>
      </c>
      <c r="G196" t="n">
        <v>12.3</v>
      </c>
      <c r="H196" t="n">
        <v>0</v>
      </c>
      <c r="I196" t="n">
        <v>0</v>
      </c>
      <c r="J196" t="n">
        <v>0</v>
      </c>
      <c r="K196" t="n">
        <v>0</v>
      </c>
      <c r="L196" t="n">
        <v>0</v>
      </c>
      <c r="M196" t="n">
        <v>0</v>
      </c>
      <c r="N196" t="n">
        <v>0</v>
      </c>
      <c r="O196" t="n">
        <v>0</v>
      </c>
      <c r="P196" t="n">
        <v>0</v>
      </c>
      <c r="Q196" t="n">
        <v>0</v>
      </c>
      <c r="R196" s="2" t="inlineStr"/>
    </row>
    <row r="197" ht="15" customHeight="1">
      <c r="A197" t="inlineStr">
        <is>
          <t>A 36853-2023</t>
        </is>
      </c>
      <c r="B197" s="1" t="n">
        <v>45154</v>
      </c>
      <c r="C197" s="1" t="n">
        <v>46189</v>
      </c>
      <c r="D197" t="inlineStr">
        <is>
          <t>VÄSTERBOTTENS LÄN</t>
        </is>
      </c>
      <c r="E197" t="inlineStr">
        <is>
          <t>SORSELE</t>
        </is>
      </c>
      <c r="G197" t="n">
        <v>16.9</v>
      </c>
      <c r="H197" t="n">
        <v>0</v>
      </c>
      <c r="I197" t="n">
        <v>0</v>
      </c>
      <c r="J197" t="n">
        <v>0</v>
      </c>
      <c r="K197" t="n">
        <v>0</v>
      </c>
      <c r="L197" t="n">
        <v>0</v>
      </c>
      <c r="M197" t="n">
        <v>0</v>
      </c>
      <c r="N197" t="n">
        <v>0</v>
      </c>
      <c r="O197" t="n">
        <v>0</v>
      </c>
      <c r="P197" t="n">
        <v>0</v>
      </c>
      <c r="Q197" t="n">
        <v>0</v>
      </c>
      <c r="R197" s="2" t="inlineStr"/>
    </row>
    <row r="198" ht="15" customHeight="1">
      <c r="A198" t="inlineStr">
        <is>
          <t>A 3602-2025</t>
        </is>
      </c>
      <c r="B198" s="1" t="n">
        <v>45681.34489583333</v>
      </c>
      <c r="C198" s="1" t="n">
        <v>46189</v>
      </c>
      <c r="D198" t="inlineStr">
        <is>
          <t>VÄSTERBOTTENS LÄN</t>
        </is>
      </c>
      <c r="E198" t="inlineStr">
        <is>
          <t>SORSELE</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7256-2025</t>
        </is>
      </c>
      <c r="B199" s="1" t="n">
        <v>45702</v>
      </c>
      <c r="C199" s="1" t="n">
        <v>46189</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23336-2022</t>
        </is>
      </c>
      <c r="B200" s="1" t="n">
        <v>44719</v>
      </c>
      <c r="C200" s="1" t="n">
        <v>46189</v>
      </c>
      <c r="D200" t="inlineStr">
        <is>
          <t>VÄSTERBOTTENS LÄN</t>
        </is>
      </c>
      <c r="E200" t="inlineStr">
        <is>
          <t>SORSELE</t>
        </is>
      </c>
      <c r="G200" t="n">
        <v>8.6</v>
      </c>
      <c r="H200" t="n">
        <v>0</v>
      </c>
      <c r="I200" t="n">
        <v>0</v>
      </c>
      <c r="J200" t="n">
        <v>0</v>
      </c>
      <c r="K200" t="n">
        <v>0</v>
      </c>
      <c r="L200" t="n">
        <v>0</v>
      </c>
      <c r="M200" t="n">
        <v>0</v>
      </c>
      <c r="N200" t="n">
        <v>0</v>
      </c>
      <c r="O200" t="n">
        <v>0</v>
      </c>
      <c r="P200" t="n">
        <v>0</v>
      </c>
      <c r="Q200" t="n">
        <v>0</v>
      </c>
      <c r="R200" s="2" t="inlineStr"/>
    </row>
    <row r="201" ht="15" customHeight="1">
      <c r="A201" t="inlineStr">
        <is>
          <t>A 2929-2025</t>
        </is>
      </c>
      <c r="B201" s="1" t="n">
        <v>45678</v>
      </c>
      <c r="C201" s="1" t="n">
        <v>46189</v>
      </c>
      <c r="D201" t="inlineStr">
        <is>
          <t>VÄSTERBOTTENS LÄN</t>
        </is>
      </c>
      <c r="E201" t="inlineStr">
        <is>
          <t>SORSELE</t>
        </is>
      </c>
      <c r="G201" t="n">
        <v>49.7</v>
      </c>
      <c r="H201" t="n">
        <v>0</v>
      </c>
      <c r="I201" t="n">
        <v>0</v>
      </c>
      <c r="J201" t="n">
        <v>0</v>
      </c>
      <c r="K201" t="n">
        <v>0</v>
      </c>
      <c r="L201" t="n">
        <v>0</v>
      </c>
      <c r="M201" t="n">
        <v>0</v>
      </c>
      <c r="N201" t="n">
        <v>0</v>
      </c>
      <c r="O201" t="n">
        <v>0</v>
      </c>
      <c r="P201" t="n">
        <v>0</v>
      </c>
      <c r="Q201" t="n">
        <v>0</v>
      </c>
      <c r="R201" s="2" t="inlineStr"/>
    </row>
    <row r="202" ht="15" customHeight="1">
      <c r="A202" t="inlineStr">
        <is>
          <t>A 29732-2023</t>
        </is>
      </c>
      <c r="B202" s="1" t="n">
        <v>45107.45042824074</v>
      </c>
      <c r="C202" s="1" t="n">
        <v>46189</v>
      </c>
      <c r="D202" t="inlineStr">
        <is>
          <t>VÄSTERBOTTENS LÄN</t>
        </is>
      </c>
      <c r="E202" t="inlineStr">
        <is>
          <t>SORSELE</t>
        </is>
      </c>
      <c r="G202" t="n">
        <v>6.7</v>
      </c>
      <c r="H202" t="n">
        <v>0</v>
      </c>
      <c r="I202" t="n">
        <v>0</v>
      </c>
      <c r="J202" t="n">
        <v>0</v>
      </c>
      <c r="K202" t="n">
        <v>0</v>
      </c>
      <c r="L202" t="n">
        <v>0</v>
      </c>
      <c r="M202" t="n">
        <v>0</v>
      </c>
      <c r="N202" t="n">
        <v>0</v>
      </c>
      <c r="O202" t="n">
        <v>0</v>
      </c>
      <c r="P202" t="n">
        <v>0</v>
      </c>
      <c r="Q202" t="n">
        <v>0</v>
      </c>
      <c r="R202" s="2" t="inlineStr"/>
    </row>
    <row r="203" ht="15" customHeight="1">
      <c r="A203" t="inlineStr">
        <is>
          <t>A 25374-2022</t>
        </is>
      </c>
      <c r="B203" s="1" t="n">
        <v>44731</v>
      </c>
      <c r="C203" s="1" t="n">
        <v>46189</v>
      </c>
      <c r="D203" t="inlineStr">
        <is>
          <t>VÄSTERBOTTENS LÄN</t>
        </is>
      </c>
      <c r="E203" t="inlineStr">
        <is>
          <t>SORSELE</t>
        </is>
      </c>
      <c r="G203" t="n">
        <v>37.1</v>
      </c>
      <c r="H203" t="n">
        <v>0</v>
      </c>
      <c r="I203" t="n">
        <v>0</v>
      </c>
      <c r="J203" t="n">
        <v>0</v>
      </c>
      <c r="K203" t="n">
        <v>0</v>
      </c>
      <c r="L203" t="n">
        <v>0</v>
      </c>
      <c r="M203" t="n">
        <v>0</v>
      </c>
      <c r="N203" t="n">
        <v>0</v>
      </c>
      <c r="O203" t="n">
        <v>0</v>
      </c>
      <c r="P203" t="n">
        <v>0</v>
      </c>
      <c r="Q203" t="n">
        <v>0</v>
      </c>
      <c r="R203" s="2" t="inlineStr"/>
    </row>
    <row r="204" ht="15" customHeight="1">
      <c r="A204" t="inlineStr">
        <is>
          <t>A 60896-2025</t>
        </is>
      </c>
      <c r="B204" s="1" t="n">
        <v>45999.57694444444</v>
      </c>
      <c r="C204" s="1" t="n">
        <v>46189</v>
      </c>
      <c r="D204" t="inlineStr">
        <is>
          <t>VÄSTERBOTTENS LÄN</t>
        </is>
      </c>
      <c r="E204" t="inlineStr">
        <is>
          <t>SORSELE</t>
        </is>
      </c>
      <c r="F204" t="inlineStr">
        <is>
          <t>Sveaskog</t>
        </is>
      </c>
      <c r="G204" t="n">
        <v>3.9</v>
      </c>
      <c r="H204" t="n">
        <v>0</v>
      </c>
      <c r="I204" t="n">
        <v>0</v>
      </c>
      <c r="J204" t="n">
        <v>0</v>
      </c>
      <c r="K204" t="n">
        <v>0</v>
      </c>
      <c r="L204" t="n">
        <v>0</v>
      </c>
      <c r="M204" t="n">
        <v>0</v>
      </c>
      <c r="N204" t="n">
        <v>0</v>
      </c>
      <c r="O204" t="n">
        <v>0</v>
      </c>
      <c r="P204" t="n">
        <v>0</v>
      </c>
      <c r="Q204" t="n">
        <v>0</v>
      </c>
      <c r="R204" s="2" t="inlineStr"/>
    </row>
    <row r="205" ht="15" customHeight="1">
      <c r="A205" t="inlineStr">
        <is>
          <t>A 14998-2022</t>
        </is>
      </c>
      <c r="B205" s="1" t="n">
        <v>44657</v>
      </c>
      <c r="C205" s="1" t="n">
        <v>46189</v>
      </c>
      <c r="D205" t="inlineStr">
        <is>
          <t>VÄSTERBOTTENS LÄN</t>
        </is>
      </c>
      <c r="E205" t="inlineStr">
        <is>
          <t>SORSELE</t>
        </is>
      </c>
      <c r="G205" t="n">
        <v>8.9</v>
      </c>
      <c r="H205" t="n">
        <v>0</v>
      </c>
      <c r="I205" t="n">
        <v>0</v>
      </c>
      <c r="J205" t="n">
        <v>0</v>
      </c>
      <c r="K205" t="n">
        <v>0</v>
      </c>
      <c r="L205" t="n">
        <v>0</v>
      </c>
      <c r="M205" t="n">
        <v>0</v>
      </c>
      <c r="N205" t="n">
        <v>0</v>
      </c>
      <c r="O205" t="n">
        <v>0</v>
      </c>
      <c r="P205" t="n">
        <v>0</v>
      </c>
      <c r="Q205" t="n">
        <v>0</v>
      </c>
      <c r="R205" s="2" t="inlineStr"/>
    </row>
    <row r="206" ht="15" customHeight="1">
      <c r="A206" t="inlineStr">
        <is>
          <t>A 61655-2025</t>
        </is>
      </c>
      <c r="B206" s="1" t="n">
        <v>46002.44863425926</v>
      </c>
      <c r="C206" s="1" t="n">
        <v>46189</v>
      </c>
      <c r="D206" t="inlineStr">
        <is>
          <t>VÄSTERBOTTENS LÄN</t>
        </is>
      </c>
      <c r="E206" t="inlineStr">
        <is>
          <t>SORSELE</t>
        </is>
      </c>
      <c r="F206" t="inlineStr">
        <is>
          <t>SCA</t>
        </is>
      </c>
      <c r="G206" t="n">
        <v>3.7</v>
      </c>
      <c r="H206" t="n">
        <v>0</v>
      </c>
      <c r="I206" t="n">
        <v>0</v>
      </c>
      <c r="J206" t="n">
        <v>0</v>
      </c>
      <c r="K206" t="n">
        <v>0</v>
      </c>
      <c r="L206" t="n">
        <v>0</v>
      </c>
      <c r="M206" t="n">
        <v>0</v>
      </c>
      <c r="N206" t="n">
        <v>0</v>
      </c>
      <c r="O206" t="n">
        <v>0</v>
      </c>
      <c r="P206" t="n">
        <v>0</v>
      </c>
      <c r="Q206" t="n">
        <v>0</v>
      </c>
      <c r="R206" s="2" t="inlineStr"/>
    </row>
    <row r="207" ht="15" customHeight="1">
      <c r="A207" t="inlineStr">
        <is>
          <t>A 62315-2025</t>
        </is>
      </c>
      <c r="B207" s="1" t="n">
        <v>46003</v>
      </c>
      <c r="C207" s="1" t="n">
        <v>46189</v>
      </c>
      <c r="D207" t="inlineStr">
        <is>
          <t>VÄSTERBOTTENS LÄN</t>
        </is>
      </c>
      <c r="E207" t="inlineStr">
        <is>
          <t>SORSELE</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62468-2025</t>
        </is>
      </c>
      <c r="B208" s="1" t="n">
        <v>46007.51100694444</v>
      </c>
      <c r="C208" s="1" t="n">
        <v>46189</v>
      </c>
      <c r="D208" t="inlineStr">
        <is>
          <t>VÄSTERBOTTENS LÄN</t>
        </is>
      </c>
      <c r="E208" t="inlineStr">
        <is>
          <t>SORSELE</t>
        </is>
      </c>
      <c r="G208" t="n">
        <v>14.6</v>
      </c>
      <c r="H208" t="n">
        <v>0</v>
      </c>
      <c r="I208" t="n">
        <v>0</v>
      </c>
      <c r="J208" t="n">
        <v>0</v>
      </c>
      <c r="K208" t="n">
        <v>0</v>
      </c>
      <c r="L208" t="n">
        <v>0</v>
      </c>
      <c r="M208" t="n">
        <v>0</v>
      </c>
      <c r="N208" t="n">
        <v>0</v>
      </c>
      <c r="O208" t="n">
        <v>0</v>
      </c>
      <c r="P208" t="n">
        <v>0</v>
      </c>
      <c r="Q208" t="n">
        <v>0</v>
      </c>
      <c r="R208" s="2" t="inlineStr"/>
    </row>
    <row r="209" ht="15" customHeight="1">
      <c r="A209" t="inlineStr">
        <is>
          <t>A 12437-2022</t>
        </is>
      </c>
      <c r="B209" s="1" t="n">
        <v>44638</v>
      </c>
      <c r="C209" s="1" t="n">
        <v>46189</v>
      </c>
      <c r="D209" t="inlineStr">
        <is>
          <t>VÄSTERBOTTENS LÄN</t>
        </is>
      </c>
      <c r="E209" t="inlineStr">
        <is>
          <t>SORSELE</t>
        </is>
      </c>
      <c r="G209" t="n">
        <v>5.4</v>
      </c>
      <c r="H209" t="n">
        <v>0</v>
      </c>
      <c r="I209" t="n">
        <v>0</v>
      </c>
      <c r="J209" t="n">
        <v>0</v>
      </c>
      <c r="K209" t="n">
        <v>0</v>
      </c>
      <c r="L209" t="n">
        <v>0</v>
      </c>
      <c r="M209" t="n">
        <v>0</v>
      </c>
      <c r="N209" t="n">
        <v>0</v>
      </c>
      <c r="O209" t="n">
        <v>0</v>
      </c>
      <c r="P209" t="n">
        <v>0</v>
      </c>
      <c r="Q209" t="n">
        <v>0</v>
      </c>
      <c r="R209" s="2" t="inlineStr"/>
    </row>
    <row r="210" ht="15" customHeight="1">
      <c r="A210" t="inlineStr">
        <is>
          <t>A 45535-2022</t>
        </is>
      </c>
      <c r="B210" s="1" t="n">
        <v>44841</v>
      </c>
      <c r="C210" s="1" t="n">
        <v>46189</v>
      </c>
      <c r="D210" t="inlineStr">
        <is>
          <t>VÄSTERBOTTENS LÄN</t>
        </is>
      </c>
      <c r="E210" t="inlineStr">
        <is>
          <t>SORSELE</t>
        </is>
      </c>
      <c r="G210" t="n">
        <v>82.3</v>
      </c>
      <c r="H210" t="n">
        <v>0</v>
      </c>
      <c r="I210" t="n">
        <v>0</v>
      </c>
      <c r="J210" t="n">
        <v>0</v>
      </c>
      <c r="K210" t="n">
        <v>0</v>
      </c>
      <c r="L210" t="n">
        <v>0</v>
      </c>
      <c r="M210" t="n">
        <v>0</v>
      </c>
      <c r="N210" t="n">
        <v>0</v>
      </c>
      <c r="O210" t="n">
        <v>0</v>
      </c>
      <c r="P210" t="n">
        <v>0</v>
      </c>
      <c r="Q210" t="n">
        <v>0</v>
      </c>
      <c r="R210" s="2" t="inlineStr"/>
    </row>
    <row r="211" ht="15" customHeight="1">
      <c r="A211" t="inlineStr">
        <is>
          <t>A 11321-2024</t>
        </is>
      </c>
      <c r="B211" s="1" t="n">
        <v>45371</v>
      </c>
      <c r="C211" s="1" t="n">
        <v>46189</v>
      </c>
      <c r="D211" t="inlineStr">
        <is>
          <t>VÄSTERBOTTENS LÄN</t>
        </is>
      </c>
      <c r="E211" t="inlineStr">
        <is>
          <t>SORSELE</t>
        </is>
      </c>
      <c r="G211" t="n">
        <v>12.1</v>
      </c>
      <c r="H211" t="n">
        <v>0</v>
      </c>
      <c r="I211" t="n">
        <v>0</v>
      </c>
      <c r="J211" t="n">
        <v>0</v>
      </c>
      <c r="K211" t="n">
        <v>0</v>
      </c>
      <c r="L211" t="n">
        <v>0</v>
      </c>
      <c r="M211" t="n">
        <v>0</v>
      </c>
      <c r="N211" t="n">
        <v>0</v>
      </c>
      <c r="O211" t="n">
        <v>0</v>
      </c>
      <c r="P211" t="n">
        <v>0</v>
      </c>
      <c r="Q211" t="n">
        <v>0</v>
      </c>
      <c r="R211" s="2" t="inlineStr"/>
    </row>
    <row r="212" ht="15" customHeight="1">
      <c r="A212" t="inlineStr">
        <is>
          <t>A 11323-2024</t>
        </is>
      </c>
      <c r="B212" s="1" t="n">
        <v>45371</v>
      </c>
      <c r="C212" s="1" t="n">
        <v>46189</v>
      </c>
      <c r="D212" t="inlineStr">
        <is>
          <t>VÄSTERBOTTENS LÄN</t>
        </is>
      </c>
      <c r="E212" t="inlineStr">
        <is>
          <t>SORSELE</t>
        </is>
      </c>
      <c r="G212" t="n">
        <v>12.9</v>
      </c>
      <c r="H212" t="n">
        <v>0</v>
      </c>
      <c r="I212" t="n">
        <v>0</v>
      </c>
      <c r="J212" t="n">
        <v>0</v>
      </c>
      <c r="K212" t="n">
        <v>0</v>
      </c>
      <c r="L212" t="n">
        <v>0</v>
      </c>
      <c r="M212" t="n">
        <v>0</v>
      </c>
      <c r="N212" t="n">
        <v>0</v>
      </c>
      <c r="O212" t="n">
        <v>0</v>
      </c>
      <c r="P212" t="n">
        <v>0</v>
      </c>
      <c r="Q212" t="n">
        <v>0</v>
      </c>
      <c r="R212" s="2" t="inlineStr"/>
    </row>
    <row r="213" ht="15" customHeight="1">
      <c r="A213" t="inlineStr">
        <is>
          <t>A 11320-2024</t>
        </is>
      </c>
      <c r="B213" s="1" t="n">
        <v>45371</v>
      </c>
      <c r="C213" s="1" t="n">
        <v>46189</v>
      </c>
      <c r="D213" t="inlineStr">
        <is>
          <t>VÄSTERBOTTENS LÄN</t>
        </is>
      </c>
      <c r="E213" t="inlineStr">
        <is>
          <t>SORSELE</t>
        </is>
      </c>
      <c r="G213" t="n">
        <v>18.2</v>
      </c>
      <c r="H213" t="n">
        <v>0</v>
      </c>
      <c r="I213" t="n">
        <v>0</v>
      </c>
      <c r="J213" t="n">
        <v>0</v>
      </c>
      <c r="K213" t="n">
        <v>0</v>
      </c>
      <c r="L213" t="n">
        <v>0</v>
      </c>
      <c r="M213" t="n">
        <v>0</v>
      </c>
      <c r="N213" t="n">
        <v>0</v>
      </c>
      <c r="O213" t="n">
        <v>0</v>
      </c>
      <c r="P213" t="n">
        <v>0</v>
      </c>
      <c r="Q213" t="n">
        <v>0</v>
      </c>
      <c r="R213" s="2" t="inlineStr"/>
    </row>
    <row r="214" ht="15" customHeight="1">
      <c r="A214" t="inlineStr">
        <is>
          <t>A 11322-2024</t>
        </is>
      </c>
      <c r="B214" s="1" t="n">
        <v>45371</v>
      </c>
      <c r="C214" s="1" t="n">
        <v>46189</v>
      </c>
      <c r="D214" t="inlineStr">
        <is>
          <t>VÄSTERBOTTENS LÄN</t>
        </is>
      </c>
      <c r="E214" t="inlineStr">
        <is>
          <t>SORSELE</t>
        </is>
      </c>
      <c r="G214" t="n">
        <v>18.7</v>
      </c>
      <c r="H214" t="n">
        <v>0</v>
      </c>
      <c r="I214" t="n">
        <v>0</v>
      </c>
      <c r="J214" t="n">
        <v>0</v>
      </c>
      <c r="K214" t="n">
        <v>0</v>
      </c>
      <c r="L214" t="n">
        <v>0</v>
      </c>
      <c r="M214" t="n">
        <v>0</v>
      </c>
      <c r="N214" t="n">
        <v>0</v>
      </c>
      <c r="O214" t="n">
        <v>0</v>
      </c>
      <c r="P214" t="n">
        <v>0</v>
      </c>
      <c r="Q214" t="n">
        <v>0</v>
      </c>
      <c r="R214" s="2" t="inlineStr"/>
    </row>
    <row r="215" ht="15" customHeight="1">
      <c r="A215" t="inlineStr">
        <is>
          <t>A 58247-2022</t>
        </is>
      </c>
      <c r="B215" s="1" t="n">
        <v>44893</v>
      </c>
      <c r="C215" s="1" t="n">
        <v>46189</v>
      </c>
      <c r="D215" t="inlineStr">
        <is>
          <t>VÄSTERBOTTENS LÄN</t>
        </is>
      </c>
      <c r="E215" t="inlineStr">
        <is>
          <t>SORSELE</t>
        </is>
      </c>
      <c r="G215" t="n">
        <v>0.9</v>
      </c>
      <c r="H215" t="n">
        <v>0</v>
      </c>
      <c r="I215" t="n">
        <v>0</v>
      </c>
      <c r="J215" t="n">
        <v>0</v>
      </c>
      <c r="K215" t="n">
        <v>0</v>
      </c>
      <c r="L215" t="n">
        <v>0</v>
      </c>
      <c r="M215" t="n">
        <v>0</v>
      </c>
      <c r="N215" t="n">
        <v>0</v>
      </c>
      <c r="O215" t="n">
        <v>0</v>
      </c>
      <c r="P215" t="n">
        <v>0</v>
      </c>
      <c r="Q215" t="n">
        <v>0</v>
      </c>
      <c r="R215" s="2" t="inlineStr"/>
    </row>
    <row r="216" ht="15" customHeight="1">
      <c r="A216" t="inlineStr">
        <is>
          <t>A 12109-2024</t>
        </is>
      </c>
      <c r="B216" s="1" t="n">
        <v>45376</v>
      </c>
      <c r="C216" s="1" t="n">
        <v>46189</v>
      </c>
      <c r="D216" t="inlineStr">
        <is>
          <t>VÄSTERBOTTENS LÄN</t>
        </is>
      </c>
      <c r="E216" t="inlineStr">
        <is>
          <t>SORSELE</t>
        </is>
      </c>
      <c r="G216" t="n">
        <v>75</v>
      </c>
      <c r="H216" t="n">
        <v>0</v>
      </c>
      <c r="I216" t="n">
        <v>0</v>
      </c>
      <c r="J216" t="n">
        <v>0</v>
      </c>
      <c r="K216" t="n">
        <v>0</v>
      </c>
      <c r="L216" t="n">
        <v>0</v>
      </c>
      <c r="M216" t="n">
        <v>0</v>
      </c>
      <c r="N216" t="n">
        <v>0</v>
      </c>
      <c r="O216" t="n">
        <v>0</v>
      </c>
      <c r="P216" t="n">
        <v>0</v>
      </c>
      <c r="Q216" t="n">
        <v>0</v>
      </c>
      <c r="R216" s="2" t="inlineStr"/>
    </row>
    <row r="217" ht="15" customHeight="1">
      <c r="A217" t="inlineStr">
        <is>
          <t>A 28023-2025</t>
        </is>
      </c>
      <c r="B217" s="1" t="n">
        <v>45817</v>
      </c>
      <c r="C217" s="1" t="n">
        <v>46189</v>
      </c>
      <c r="D217" t="inlineStr">
        <is>
          <t>VÄSTERBOTTENS LÄN</t>
        </is>
      </c>
      <c r="E217" t="inlineStr">
        <is>
          <t>SORSELE</t>
        </is>
      </c>
      <c r="F217" t="inlineStr">
        <is>
          <t>Övriga statliga verk och myndigheter</t>
        </is>
      </c>
      <c r="G217" t="n">
        <v>0.6</v>
      </c>
      <c r="H217" t="n">
        <v>0</v>
      </c>
      <c r="I217" t="n">
        <v>0</v>
      </c>
      <c r="J217" t="n">
        <v>0</v>
      </c>
      <c r="K217" t="n">
        <v>0</v>
      </c>
      <c r="L217" t="n">
        <v>0</v>
      </c>
      <c r="M217" t="n">
        <v>0</v>
      </c>
      <c r="N217" t="n">
        <v>0</v>
      </c>
      <c r="O217" t="n">
        <v>0</v>
      </c>
      <c r="P217" t="n">
        <v>0</v>
      </c>
      <c r="Q217" t="n">
        <v>0</v>
      </c>
      <c r="R217" s="2" t="inlineStr"/>
    </row>
    <row r="218" ht="15" customHeight="1">
      <c r="A218" t="inlineStr">
        <is>
          <t>A 52621-2022</t>
        </is>
      </c>
      <c r="B218" s="1" t="n">
        <v>44869</v>
      </c>
      <c r="C218" s="1" t="n">
        <v>46189</v>
      </c>
      <c r="D218" t="inlineStr">
        <is>
          <t>VÄSTERBOTTENS LÄN</t>
        </is>
      </c>
      <c r="E218" t="inlineStr">
        <is>
          <t>SORSELE</t>
        </is>
      </c>
      <c r="F218" t="inlineStr">
        <is>
          <t>Allmännings- och besparingsskogar</t>
        </is>
      </c>
      <c r="G218" t="n">
        <v>17.3</v>
      </c>
      <c r="H218" t="n">
        <v>0</v>
      </c>
      <c r="I218" t="n">
        <v>0</v>
      </c>
      <c r="J218" t="n">
        <v>0</v>
      </c>
      <c r="K218" t="n">
        <v>0</v>
      </c>
      <c r="L218" t="n">
        <v>0</v>
      </c>
      <c r="M218" t="n">
        <v>0</v>
      </c>
      <c r="N218" t="n">
        <v>0</v>
      </c>
      <c r="O218" t="n">
        <v>0</v>
      </c>
      <c r="P218" t="n">
        <v>0</v>
      </c>
      <c r="Q218" t="n">
        <v>0</v>
      </c>
      <c r="R218" s="2" t="inlineStr"/>
    </row>
    <row r="219" ht="15" customHeight="1">
      <c r="A219" t="inlineStr">
        <is>
          <t>A 1698-2026</t>
        </is>
      </c>
      <c r="B219" s="1" t="n">
        <v>46034.59423611111</v>
      </c>
      <c r="C219" s="1" t="n">
        <v>46189</v>
      </c>
      <c r="D219" t="inlineStr">
        <is>
          <t>VÄSTERBOTTENS LÄN</t>
        </is>
      </c>
      <c r="E219" t="inlineStr">
        <is>
          <t>SORSELE</t>
        </is>
      </c>
      <c r="G219" t="n">
        <v>15.4</v>
      </c>
      <c r="H219" t="n">
        <v>0</v>
      </c>
      <c r="I219" t="n">
        <v>0</v>
      </c>
      <c r="J219" t="n">
        <v>0</v>
      </c>
      <c r="K219" t="n">
        <v>0</v>
      </c>
      <c r="L219" t="n">
        <v>0</v>
      </c>
      <c r="M219" t="n">
        <v>0</v>
      </c>
      <c r="N219" t="n">
        <v>0</v>
      </c>
      <c r="O219" t="n">
        <v>0</v>
      </c>
      <c r="P219" t="n">
        <v>0</v>
      </c>
      <c r="Q219" t="n">
        <v>0</v>
      </c>
      <c r="R219" s="2" t="inlineStr"/>
    </row>
    <row r="220" ht="15" customHeight="1">
      <c r="A220" t="inlineStr">
        <is>
          <t>A 1700-2026</t>
        </is>
      </c>
      <c r="B220" s="1" t="n">
        <v>46034.5943287037</v>
      </c>
      <c r="C220" s="1" t="n">
        <v>46189</v>
      </c>
      <c r="D220" t="inlineStr">
        <is>
          <t>VÄSTERBOTTENS LÄN</t>
        </is>
      </c>
      <c r="E220" t="inlineStr">
        <is>
          <t>SORSELE</t>
        </is>
      </c>
      <c r="G220" t="n">
        <v>29.6</v>
      </c>
      <c r="H220" t="n">
        <v>0</v>
      </c>
      <c r="I220" t="n">
        <v>0</v>
      </c>
      <c r="J220" t="n">
        <v>0</v>
      </c>
      <c r="K220" t="n">
        <v>0</v>
      </c>
      <c r="L220" t="n">
        <v>0</v>
      </c>
      <c r="M220" t="n">
        <v>0</v>
      </c>
      <c r="N220" t="n">
        <v>0</v>
      </c>
      <c r="O220" t="n">
        <v>0</v>
      </c>
      <c r="P220" t="n">
        <v>0</v>
      </c>
      <c r="Q220" t="n">
        <v>0</v>
      </c>
      <c r="R220" s="2" t="inlineStr"/>
    </row>
    <row r="221" ht="15" customHeight="1">
      <c r="A221" t="inlineStr">
        <is>
          <t>A 1699-2026</t>
        </is>
      </c>
      <c r="B221" s="1" t="n">
        <v>46034.59425925926</v>
      </c>
      <c r="C221" s="1" t="n">
        <v>46189</v>
      </c>
      <c r="D221" t="inlineStr">
        <is>
          <t>VÄSTERBOTTENS LÄN</t>
        </is>
      </c>
      <c r="E221" t="inlineStr">
        <is>
          <t>SORSELE</t>
        </is>
      </c>
      <c r="G221" t="n">
        <v>11.8</v>
      </c>
      <c r="H221" t="n">
        <v>0</v>
      </c>
      <c r="I221" t="n">
        <v>0</v>
      </c>
      <c r="J221" t="n">
        <v>0</v>
      </c>
      <c r="K221" t="n">
        <v>0</v>
      </c>
      <c r="L221" t="n">
        <v>0</v>
      </c>
      <c r="M221" t="n">
        <v>0</v>
      </c>
      <c r="N221" t="n">
        <v>0</v>
      </c>
      <c r="O221" t="n">
        <v>0</v>
      </c>
      <c r="P221" t="n">
        <v>0</v>
      </c>
      <c r="Q221" t="n">
        <v>0</v>
      </c>
      <c r="R221" s="2" t="inlineStr"/>
    </row>
    <row r="222" ht="15" customHeight="1">
      <c r="A222" t="inlineStr">
        <is>
          <t>A 1986-2026</t>
        </is>
      </c>
      <c r="B222" s="1" t="n">
        <v>46035.65704861111</v>
      </c>
      <c r="C222" s="1" t="n">
        <v>46189</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8282-2023</t>
        </is>
      </c>
      <c r="B223" s="1" t="n">
        <v>44974</v>
      </c>
      <c r="C223" s="1" t="n">
        <v>46189</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53102-2024</t>
        </is>
      </c>
      <c r="B224" s="1" t="n">
        <v>45611</v>
      </c>
      <c r="C224" s="1" t="n">
        <v>46189</v>
      </c>
      <c r="D224" t="inlineStr">
        <is>
          <t>VÄSTERBOTTENS LÄN</t>
        </is>
      </c>
      <c r="E224" t="inlineStr">
        <is>
          <t>SORSELE</t>
        </is>
      </c>
      <c r="F224" t="inlineStr">
        <is>
          <t>Sveaskog</t>
        </is>
      </c>
      <c r="G224" t="n">
        <v>44.9</v>
      </c>
      <c r="H224" t="n">
        <v>0</v>
      </c>
      <c r="I224" t="n">
        <v>0</v>
      </c>
      <c r="J224" t="n">
        <v>0</v>
      </c>
      <c r="K224" t="n">
        <v>0</v>
      </c>
      <c r="L224" t="n">
        <v>0</v>
      </c>
      <c r="M224" t="n">
        <v>0</v>
      </c>
      <c r="N224" t="n">
        <v>0</v>
      </c>
      <c r="O224" t="n">
        <v>0</v>
      </c>
      <c r="P224" t="n">
        <v>0</v>
      </c>
      <c r="Q224" t="n">
        <v>0</v>
      </c>
      <c r="R224" s="2" t="inlineStr"/>
    </row>
    <row r="225" ht="15" customHeight="1">
      <c r="A225" t="inlineStr">
        <is>
          <t>A 46666-2025</t>
        </is>
      </c>
      <c r="B225" s="1" t="n">
        <v>45926</v>
      </c>
      <c r="C225" s="1" t="n">
        <v>46189</v>
      </c>
      <c r="D225" t="inlineStr">
        <is>
          <t>VÄSTERBOTTENS LÄN</t>
        </is>
      </c>
      <c r="E225" t="inlineStr">
        <is>
          <t>SORSELE</t>
        </is>
      </c>
      <c r="F225" t="inlineStr">
        <is>
          <t>Sveaskog</t>
        </is>
      </c>
      <c r="G225" t="n">
        <v>35.6</v>
      </c>
      <c r="H225" t="n">
        <v>0</v>
      </c>
      <c r="I225" t="n">
        <v>0</v>
      </c>
      <c r="J225" t="n">
        <v>0</v>
      </c>
      <c r="K225" t="n">
        <v>0</v>
      </c>
      <c r="L225" t="n">
        <v>0</v>
      </c>
      <c r="M225" t="n">
        <v>0</v>
      </c>
      <c r="N225" t="n">
        <v>0</v>
      </c>
      <c r="O225" t="n">
        <v>0</v>
      </c>
      <c r="P225" t="n">
        <v>0</v>
      </c>
      <c r="Q225" t="n">
        <v>0</v>
      </c>
      <c r="R225" s="2" t="inlineStr"/>
    </row>
    <row r="226" ht="15" customHeight="1">
      <c r="A226" t="inlineStr">
        <is>
          <t>A 33638-2024</t>
        </is>
      </c>
      <c r="B226" s="1" t="n">
        <v>45520.44297453704</v>
      </c>
      <c r="C226" s="1" t="n">
        <v>46189</v>
      </c>
      <c r="D226" t="inlineStr">
        <is>
          <t>VÄSTERBOTTENS LÄN</t>
        </is>
      </c>
      <c r="E226" t="inlineStr">
        <is>
          <t>SORSELE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33682-2024</t>
        </is>
      </c>
      <c r="B227" s="1" t="n">
        <v>45520.50972222222</v>
      </c>
      <c r="C227" s="1" t="n">
        <v>46189</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50944-2024</t>
        </is>
      </c>
      <c r="B228" s="1" t="n">
        <v>45602</v>
      </c>
      <c r="C228" s="1" t="n">
        <v>46189</v>
      </c>
      <c r="D228" t="inlineStr">
        <is>
          <t>VÄSTERBOTTENS LÄN</t>
        </is>
      </c>
      <c r="E228" t="inlineStr">
        <is>
          <t>SORSELE</t>
        </is>
      </c>
      <c r="G228" t="n">
        <v>3.8</v>
      </c>
      <c r="H228" t="n">
        <v>0</v>
      </c>
      <c r="I228" t="n">
        <v>0</v>
      </c>
      <c r="J228" t="n">
        <v>0</v>
      </c>
      <c r="K228" t="n">
        <v>0</v>
      </c>
      <c r="L228" t="n">
        <v>0</v>
      </c>
      <c r="M228" t="n">
        <v>0</v>
      </c>
      <c r="N228" t="n">
        <v>0</v>
      </c>
      <c r="O228" t="n">
        <v>0</v>
      </c>
      <c r="P228" t="n">
        <v>0</v>
      </c>
      <c r="Q228" t="n">
        <v>0</v>
      </c>
      <c r="R228" s="2" t="inlineStr"/>
    </row>
    <row r="229" ht="15" customHeight="1">
      <c r="A229" t="inlineStr">
        <is>
          <t>A 3879-2026</t>
        </is>
      </c>
      <c r="B229" s="1" t="n">
        <v>46043</v>
      </c>
      <c r="C229" s="1" t="n">
        <v>46189</v>
      </c>
      <c r="D229" t="inlineStr">
        <is>
          <t>VÄSTERBOTTENS LÄN</t>
        </is>
      </c>
      <c r="E229" t="inlineStr">
        <is>
          <t>SORSELE</t>
        </is>
      </c>
      <c r="G229" t="n">
        <v>1.3</v>
      </c>
      <c r="H229" t="n">
        <v>0</v>
      </c>
      <c r="I229" t="n">
        <v>0</v>
      </c>
      <c r="J229" t="n">
        <v>0</v>
      </c>
      <c r="K229" t="n">
        <v>0</v>
      </c>
      <c r="L229" t="n">
        <v>0</v>
      </c>
      <c r="M229" t="n">
        <v>0</v>
      </c>
      <c r="N229" t="n">
        <v>0</v>
      </c>
      <c r="O229" t="n">
        <v>0</v>
      </c>
      <c r="P229" t="n">
        <v>0</v>
      </c>
      <c r="Q229" t="n">
        <v>0</v>
      </c>
      <c r="R229" s="2" t="inlineStr"/>
    </row>
    <row r="230" ht="15" customHeight="1">
      <c r="A230" t="inlineStr">
        <is>
          <t>A 3601-2026</t>
        </is>
      </c>
      <c r="B230" s="1" t="n">
        <v>46042.81972222222</v>
      </c>
      <c r="C230" s="1" t="n">
        <v>46189</v>
      </c>
      <c r="D230" t="inlineStr">
        <is>
          <t>VÄSTERBOTTENS LÄN</t>
        </is>
      </c>
      <c r="E230" t="inlineStr">
        <is>
          <t>SORSELE</t>
        </is>
      </c>
      <c r="G230" t="n">
        <v>0.8</v>
      </c>
      <c r="H230" t="n">
        <v>0</v>
      </c>
      <c r="I230" t="n">
        <v>0</v>
      </c>
      <c r="J230" t="n">
        <v>0</v>
      </c>
      <c r="K230" t="n">
        <v>0</v>
      </c>
      <c r="L230" t="n">
        <v>0</v>
      </c>
      <c r="M230" t="n">
        <v>0</v>
      </c>
      <c r="N230" t="n">
        <v>0</v>
      </c>
      <c r="O230" t="n">
        <v>0</v>
      </c>
      <c r="P230" t="n">
        <v>0</v>
      </c>
      <c r="Q230" t="n">
        <v>0</v>
      </c>
      <c r="R230" s="2" t="inlineStr"/>
    </row>
    <row r="231" ht="15" customHeight="1">
      <c r="A231" t="inlineStr">
        <is>
          <t>A 3953-2026</t>
        </is>
      </c>
      <c r="B231" s="1" t="n">
        <v>46043</v>
      </c>
      <c r="C231" s="1" t="n">
        <v>46189</v>
      </c>
      <c r="D231" t="inlineStr">
        <is>
          <t>VÄSTERBOTTENS LÄN</t>
        </is>
      </c>
      <c r="E231" t="inlineStr">
        <is>
          <t>SORSELE</t>
        </is>
      </c>
      <c r="G231" t="n">
        <v>3.1</v>
      </c>
      <c r="H231" t="n">
        <v>0</v>
      </c>
      <c r="I231" t="n">
        <v>0</v>
      </c>
      <c r="J231" t="n">
        <v>0</v>
      </c>
      <c r="K231" t="n">
        <v>0</v>
      </c>
      <c r="L231" t="n">
        <v>0</v>
      </c>
      <c r="M231" t="n">
        <v>0</v>
      </c>
      <c r="N231" t="n">
        <v>0</v>
      </c>
      <c r="O231" t="n">
        <v>0</v>
      </c>
      <c r="P231" t="n">
        <v>0</v>
      </c>
      <c r="Q231" t="n">
        <v>0</v>
      </c>
      <c r="R231" s="2" t="inlineStr"/>
    </row>
    <row r="232" ht="15" customHeight="1">
      <c r="A232" t="inlineStr">
        <is>
          <t>A 4367-2026</t>
        </is>
      </c>
      <c r="B232" s="1" t="n">
        <v>46045.54577546296</v>
      </c>
      <c r="C232" s="1" t="n">
        <v>46189</v>
      </c>
      <c r="D232" t="inlineStr">
        <is>
          <t>VÄSTERBOTTENS LÄN</t>
        </is>
      </c>
      <c r="E232" t="inlineStr">
        <is>
          <t>SORSELE</t>
        </is>
      </c>
      <c r="F232" t="inlineStr">
        <is>
          <t>Sveaskog</t>
        </is>
      </c>
      <c r="G232" t="n">
        <v>24.9</v>
      </c>
      <c r="H232" t="n">
        <v>0</v>
      </c>
      <c r="I232" t="n">
        <v>0</v>
      </c>
      <c r="J232" t="n">
        <v>0</v>
      </c>
      <c r="K232" t="n">
        <v>0</v>
      </c>
      <c r="L232" t="n">
        <v>0</v>
      </c>
      <c r="M232" t="n">
        <v>0</v>
      </c>
      <c r="N232" t="n">
        <v>0</v>
      </c>
      <c r="O232" t="n">
        <v>0</v>
      </c>
      <c r="P232" t="n">
        <v>0</v>
      </c>
      <c r="Q232" t="n">
        <v>0</v>
      </c>
      <c r="R232" s="2" t="inlineStr"/>
    </row>
    <row r="233" ht="15" customHeight="1">
      <c r="A233" t="inlineStr">
        <is>
          <t>A 4364-2026</t>
        </is>
      </c>
      <c r="B233" s="1" t="n">
        <v>46045.54497685185</v>
      </c>
      <c r="C233" s="1" t="n">
        <v>46189</v>
      </c>
      <c r="D233" t="inlineStr">
        <is>
          <t>VÄSTERBOTTENS LÄN</t>
        </is>
      </c>
      <c r="E233" t="inlineStr">
        <is>
          <t>SORSELE</t>
        </is>
      </c>
      <c r="F233" t="inlineStr">
        <is>
          <t>Sveaskog</t>
        </is>
      </c>
      <c r="G233" t="n">
        <v>59.7</v>
      </c>
      <c r="H233" t="n">
        <v>0</v>
      </c>
      <c r="I233" t="n">
        <v>0</v>
      </c>
      <c r="J233" t="n">
        <v>0</v>
      </c>
      <c r="K233" t="n">
        <v>0</v>
      </c>
      <c r="L233" t="n">
        <v>0</v>
      </c>
      <c r="M233" t="n">
        <v>0</v>
      </c>
      <c r="N233" t="n">
        <v>0</v>
      </c>
      <c r="O233" t="n">
        <v>0</v>
      </c>
      <c r="P233" t="n">
        <v>0</v>
      </c>
      <c r="Q233" t="n">
        <v>0</v>
      </c>
      <c r="R233" s="2" t="inlineStr"/>
    </row>
    <row r="234" ht="15" customHeight="1">
      <c r="A234" t="inlineStr">
        <is>
          <t>A 38946-2024</t>
        </is>
      </c>
      <c r="B234" s="1" t="n">
        <v>45548.34542824074</v>
      </c>
      <c r="C234" s="1" t="n">
        <v>46189</v>
      </c>
      <c r="D234" t="inlineStr">
        <is>
          <t>VÄSTERBOTTENS LÄN</t>
        </is>
      </c>
      <c r="E234" t="inlineStr">
        <is>
          <t>SORSELE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46076-2022</t>
        </is>
      </c>
      <c r="B235" s="1" t="n">
        <v>44845</v>
      </c>
      <c r="C235" s="1" t="n">
        <v>46189</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62752-2022</t>
        </is>
      </c>
      <c r="B236" s="1" t="n">
        <v>44925.93988425926</v>
      </c>
      <c r="C236" s="1" t="n">
        <v>46189</v>
      </c>
      <c r="D236" t="inlineStr">
        <is>
          <t>VÄSTERBOTTENS LÄN</t>
        </is>
      </c>
      <c r="E236" t="inlineStr">
        <is>
          <t>SORSELE</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13093-2023</t>
        </is>
      </c>
      <c r="B237" s="1" t="n">
        <v>45002</v>
      </c>
      <c r="C237" s="1" t="n">
        <v>46189</v>
      </c>
      <c r="D237" t="inlineStr">
        <is>
          <t>VÄSTERBOTTENS LÄN</t>
        </is>
      </c>
      <c r="E237" t="inlineStr">
        <is>
          <t>SORSELE</t>
        </is>
      </c>
      <c r="G237" t="n">
        <v>1.3</v>
      </c>
      <c r="H237" t="n">
        <v>0</v>
      </c>
      <c r="I237" t="n">
        <v>0</v>
      </c>
      <c r="J237" t="n">
        <v>0</v>
      </c>
      <c r="K237" t="n">
        <v>0</v>
      </c>
      <c r="L237" t="n">
        <v>0</v>
      </c>
      <c r="M237" t="n">
        <v>0</v>
      </c>
      <c r="N237" t="n">
        <v>0</v>
      </c>
      <c r="O237" t="n">
        <v>0</v>
      </c>
      <c r="P237" t="n">
        <v>0</v>
      </c>
      <c r="Q237" t="n">
        <v>0</v>
      </c>
      <c r="R237" s="2" t="inlineStr"/>
    </row>
    <row r="238" ht="15" customHeight="1">
      <c r="A238" t="inlineStr">
        <is>
          <t>A 9981-2022</t>
        </is>
      </c>
      <c r="B238" s="1" t="n">
        <v>44606</v>
      </c>
      <c r="C238" s="1" t="n">
        <v>46189</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43286-2024</t>
        </is>
      </c>
      <c r="B239" s="1" t="n">
        <v>45568</v>
      </c>
      <c r="C239" s="1" t="n">
        <v>46189</v>
      </c>
      <c r="D239" t="inlineStr">
        <is>
          <t>VÄSTERBOTTENS LÄN</t>
        </is>
      </c>
      <c r="E239" t="inlineStr">
        <is>
          <t>SORSELE</t>
        </is>
      </c>
      <c r="G239" t="n">
        <v>5.5</v>
      </c>
      <c r="H239" t="n">
        <v>0</v>
      </c>
      <c r="I239" t="n">
        <v>0</v>
      </c>
      <c r="J239" t="n">
        <v>0</v>
      </c>
      <c r="K239" t="n">
        <v>0</v>
      </c>
      <c r="L239" t="n">
        <v>0</v>
      </c>
      <c r="M239" t="n">
        <v>0</v>
      </c>
      <c r="N239" t="n">
        <v>0</v>
      </c>
      <c r="O239" t="n">
        <v>0</v>
      </c>
      <c r="P239" t="n">
        <v>0</v>
      </c>
      <c r="Q239" t="n">
        <v>0</v>
      </c>
      <c r="R239" s="2" t="inlineStr"/>
    </row>
    <row r="240" ht="15" customHeight="1">
      <c r="A240" t="inlineStr">
        <is>
          <t>A 21590-2023</t>
        </is>
      </c>
      <c r="B240" s="1" t="n">
        <v>45063</v>
      </c>
      <c r="C240" s="1" t="n">
        <v>46189</v>
      </c>
      <c r="D240" t="inlineStr">
        <is>
          <t>VÄSTERBOTTENS LÄN</t>
        </is>
      </c>
      <c r="E240" t="inlineStr">
        <is>
          <t>SORSELE</t>
        </is>
      </c>
      <c r="G240" t="n">
        <v>54.1</v>
      </c>
      <c r="H240" t="n">
        <v>0</v>
      </c>
      <c r="I240" t="n">
        <v>0</v>
      </c>
      <c r="J240" t="n">
        <v>0</v>
      </c>
      <c r="K240" t="n">
        <v>0</v>
      </c>
      <c r="L240" t="n">
        <v>0</v>
      </c>
      <c r="M240" t="n">
        <v>0</v>
      </c>
      <c r="N240" t="n">
        <v>0</v>
      </c>
      <c r="O240" t="n">
        <v>0</v>
      </c>
      <c r="P240" t="n">
        <v>0</v>
      </c>
      <c r="Q240" t="n">
        <v>0</v>
      </c>
      <c r="R240" s="2" t="inlineStr"/>
    </row>
    <row r="241" ht="15" customHeight="1">
      <c r="A241" t="inlineStr">
        <is>
          <t>A 29789-2025</t>
        </is>
      </c>
      <c r="B241" s="1" t="n">
        <v>45825</v>
      </c>
      <c r="C241" s="1" t="n">
        <v>46189</v>
      </c>
      <c r="D241" t="inlineStr">
        <is>
          <t>VÄSTERBOTTENS LÄN</t>
        </is>
      </c>
      <c r="E241" t="inlineStr">
        <is>
          <t>SORSELE</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7792-2026</t>
        </is>
      </c>
      <c r="B242" s="1" t="n">
        <v>46062.594375</v>
      </c>
      <c r="C242" s="1" t="n">
        <v>46189</v>
      </c>
      <c r="D242" t="inlineStr">
        <is>
          <t>VÄSTERBOTTENS LÄN</t>
        </is>
      </c>
      <c r="E242" t="inlineStr">
        <is>
          <t>SORSELE</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11675-2023</t>
        </is>
      </c>
      <c r="B243" s="1" t="n">
        <v>44994</v>
      </c>
      <c r="C243" s="1" t="n">
        <v>46189</v>
      </c>
      <c r="D243" t="inlineStr">
        <is>
          <t>VÄSTERBOTTENS LÄN</t>
        </is>
      </c>
      <c r="E243" t="inlineStr">
        <is>
          <t>SORSELE</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29847-2023</t>
        </is>
      </c>
      <c r="B244" s="1" t="n">
        <v>45107</v>
      </c>
      <c r="C244" s="1" t="n">
        <v>46189</v>
      </c>
      <c r="D244" t="inlineStr">
        <is>
          <t>VÄSTERBOTTENS LÄN</t>
        </is>
      </c>
      <c r="E244" t="inlineStr">
        <is>
          <t>SORSELE</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50943-2024</t>
        </is>
      </c>
      <c r="B245" s="1" t="n">
        <v>45602</v>
      </c>
      <c r="C245" s="1" t="n">
        <v>46189</v>
      </c>
      <c r="D245" t="inlineStr">
        <is>
          <t>VÄSTERBOTTENS LÄN</t>
        </is>
      </c>
      <c r="E245" t="inlineStr">
        <is>
          <t>SORSELE</t>
        </is>
      </c>
      <c r="G245" t="n">
        <v>4</v>
      </c>
      <c r="H245" t="n">
        <v>0</v>
      </c>
      <c r="I245" t="n">
        <v>0</v>
      </c>
      <c r="J245" t="n">
        <v>0</v>
      </c>
      <c r="K245" t="n">
        <v>0</v>
      </c>
      <c r="L245" t="n">
        <v>0</v>
      </c>
      <c r="M245" t="n">
        <v>0</v>
      </c>
      <c r="N245" t="n">
        <v>0</v>
      </c>
      <c r="O245" t="n">
        <v>0</v>
      </c>
      <c r="P245" t="n">
        <v>0</v>
      </c>
      <c r="Q245" t="n">
        <v>0</v>
      </c>
      <c r="R245" s="2" t="inlineStr"/>
    </row>
    <row r="246" ht="15" customHeight="1">
      <c r="A246" t="inlineStr">
        <is>
          <t>A 9768-2026</t>
        </is>
      </c>
      <c r="B246" s="1" t="n">
        <v>46072.56574074074</v>
      </c>
      <c r="C246" s="1" t="n">
        <v>46189</v>
      </c>
      <c r="D246" t="inlineStr">
        <is>
          <t>VÄSTERBOTTENS LÄN</t>
        </is>
      </c>
      <c r="E246" t="inlineStr">
        <is>
          <t>SORSELE</t>
        </is>
      </c>
      <c r="G246" t="n">
        <v>45</v>
      </c>
      <c r="H246" t="n">
        <v>0</v>
      </c>
      <c r="I246" t="n">
        <v>0</v>
      </c>
      <c r="J246" t="n">
        <v>0</v>
      </c>
      <c r="K246" t="n">
        <v>0</v>
      </c>
      <c r="L246" t="n">
        <v>0</v>
      </c>
      <c r="M246" t="n">
        <v>0</v>
      </c>
      <c r="N246" t="n">
        <v>0</v>
      </c>
      <c r="O246" t="n">
        <v>0</v>
      </c>
      <c r="P246" t="n">
        <v>0</v>
      </c>
      <c r="Q246" t="n">
        <v>0</v>
      </c>
      <c r="R246" s="2" t="inlineStr"/>
    </row>
    <row r="247" ht="15" customHeight="1">
      <c r="A247" t="inlineStr">
        <is>
          <t>A 55418-2022</t>
        </is>
      </c>
      <c r="B247" s="1" t="n">
        <v>44882</v>
      </c>
      <c r="C247" s="1" t="n">
        <v>46189</v>
      </c>
      <c r="D247" t="inlineStr">
        <is>
          <t>VÄSTERBOTTENS LÄN</t>
        </is>
      </c>
      <c r="E247" t="inlineStr">
        <is>
          <t>SORSELE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9827-2023</t>
        </is>
      </c>
      <c r="B248" s="1" t="n">
        <v>44978</v>
      </c>
      <c r="C248" s="1" t="n">
        <v>46189</v>
      </c>
      <c r="D248" t="inlineStr">
        <is>
          <t>VÄSTERBOTTENS LÄN</t>
        </is>
      </c>
      <c r="E248" t="inlineStr">
        <is>
          <t>SORSELE</t>
        </is>
      </c>
      <c r="G248" t="n">
        <v>4.2</v>
      </c>
      <c r="H248" t="n">
        <v>0</v>
      </c>
      <c r="I248" t="n">
        <v>0</v>
      </c>
      <c r="J248" t="n">
        <v>0</v>
      </c>
      <c r="K248" t="n">
        <v>0</v>
      </c>
      <c r="L248" t="n">
        <v>0</v>
      </c>
      <c r="M248" t="n">
        <v>0</v>
      </c>
      <c r="N248" t="n">
        <v>0</v>
      </c>
      <c r="O248" t="n">
        <v>0</v>
      </c>
      <c r="P248" t="n">
        <v>0</v>
      </c>
      <c r="Q248" t="n">
        <v>0</v>
      </c>
      <c r="R248" s="2" t="inlineStr"/>
    </row>
    <row r="249" ht="15" customHeight="1">
      <c r="A249" t="inlineStr">
        <is>
          <t>A 10658-2026</t>
        </is>
      </c>
      <c r="B249" s="1" t="n">
        <v>46078.36523148148</v>
      </c>
      <c r="C249" s="1" t="n">
        <v>46189</v>
      </c>
      <c r="D249" t="inlineStr">
        <is>
          <t>VÄSTERBOTTENS LÄN</t>
        </is>
      </c>
      <c r="E249" t="inlineStr">
        <is>
          <t>SORSELE</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38948-2024</t>
        </is>
      </c>
      <c r="B250" s="1" t="n">
        <v>45548.34556712963</v>
      </c>
      <c r="C250" s="1" t="n">
        <v>46189</v>
      </c>
      <c r="D250" t="inlineStr">
        <is>
          <t>VÄSTERBOTTENS LÄN</t>
        </is>
      </c>
      <c r="E250" t="inlineStr">
        <is>
          <t>SORSELE</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53363-2021</t>
        </is>
      </c>
      <c r="B251" s="1" t="n">
        <v>44468</v>
      </c>
      <c r="C251" s="1" t="n">
        <v>46189</v>
      </c>
      <c r="D251" t="inlineStr">
        <is>
          <t>VÄSTERBOTTENS LÄN</t>
        </is>
      </c>
      <c r="E251" t="inlineStr">
        <is>
          <t>SORSELE</t>
        </is>
      </c>
      <c r="G251" t="n">
        <v>4.6</v>
      </c>
      <c r="H251" t="n">
        <v>0</v>
      </c>
      <c r="I251" t="n">
        <v>0</v>
      </c>
      <c r="J251" t="n">
        <v>0</v>
      </c>
      <c r="K251" t="n">
        <v>0</v>
      </c>
      <c r="L251" t="n">
        <v>0</v>
      </c>
      <c r="M251" t="n">
        <v>0</v>
      </c>
      <c r="N251" t="n">
        <v>0</v>
      </c>
      <c r="O251" t="n">
        <v>0</v>
      </c>
      <c r="P251" t="n">
        <v>0</v>
      </c>
      <c r="Q251" t="n">
        <v>0</v>
      </c>
      <c r="R251" s="2" t="inlineStr"/>
    </row>
    <row r="252" ht="15" customHeight="1">
      <c r="A252" t="inlineStr">
        <is>
          <t>A 11417-2026</t>
        </is>
      </c>
      <c r="B252" s="1" t="n">
        <v>46083.46931712963</v>
      </c>
      <c r="C252" s="1" t="n">
        <v>46189</v>
      </c>
      <c r="D252" t="inlineStr">
        <is>
          <t>VÄSTERBOTTENS LÄN</t>
        </is>
      </c>
      <c r="E252" t="inlineStr">
        <is>
          <t>SORSELE</t>
        </is>
      </c>
      <c r="F252" t="inlineStr">
        <is>
          <t>SCA</t>
        </is>
      </c>
      <c r="G252" t="n">
        <v>4.4</v>
      </c>
      <c r="H252" t="n">
        <v>0</v>
      </c>
      <c r="I252" t="n">
        <v>0</v>
      </c>
      <c r="J252" t="n">
        <v>0</v>
      </c>
      <c r="K252" t="n">
        <v>0</v>
      </c>
      <c r="L252" t="n">
        <v>0</v>
      </c>
      <c r="M252" t="n">
        <v>0</v>
      </c>
      <c r="N252" t="n">
        <v>0</v>
      </c>
      <c r="O252" t="n">
        <v>0</v>
      </c>
      <c r="P252" t="n">
        <v>0</v>
      </c>
      <c r="Q252" t="n">
        <v>0</v>
      </c>
      <c r="R252" s="2" t="inlineStr"/>
    </row>
    <row r="253" ht="15" customHeight="1">
      <c r="A253" t="inlineStr">
        <is>
          <t>A 11402-2026</t>
        </is>
      </c>
      <c r="B253" s="1" t="n">
        <v>46083.44861111111</v>
      </c>
      <c r="C253" s="1" t="n">
        <v>46189</v>
      </c>
      <c r="D253" t="inlineStr">
        <is>
          <t>VÄSTERBOTTENS LÄN</t>
        </is>
      </c>
      <c r="E253" t="inlineStr">
        <is>
          <t>SORSELE</t>
        </is>
      </c>
      <c r="F253" t="inlineStr">
        <is>
          <t>SCA</t>
        </is>
      </c>
      <c r="G253" t="n">
        <v>0.3</v>
      </c>
      <c r="H253" t="n">
        <v>0</v>
      </c>
      <c r="I253" t="n">
        <v>0</v>
      </c>
      <c r="J253" t="n">
        <v>0</v>
      </c>
      <c r="K253" t="n">
        <v>0</v>
      </c>
      <c r="L253" t="n">
        <v>0</v>
      </c>
      <c r="M253" t="n">
        <v>0</v>
      </c>
      <c r="N253" t="n">
        <v>0</v>
      </c>
      <c r="O253" t="n">
        <v>0</v>
      </c>
      <c r="P253" t="n">
        <v>0</v>
      </c>
      <c r="Q253" t="n">
        <v>0</v>
      </c>
      <c r="R253" s="2" t="inlineStr"/>
    </row>
    <row r="254" ht="15" customHeight="1">
      <c r="A254" t="inlineStr">
        <is>
          <t>A 16850-2023</t>
        </is>
      </c>
      <c r="B254" s="1" t="n">
        <v>45029</v>
      </c>
      <c r="C254" s="1" t="n">
        <v>46189</v>
      </c>
      <c r="D254" t="inlineStr">
        <is>
          <t>VÄSTERBOTTENS LÄN</t>
        </is>
      </c>
      <c r="E254" t="inlineStr">
        <is>
          <t>SORSELE</t>
        </is>
      </c>
      <c r="G254" t="n">
        <v>2.2</v>
      </c>
      <c r="H254" t="n">
        <v>0</v>
      </c>
      <c r="I254" t="n">
        <v>0</v>
      </c>
      <c r="J254" t="n">
        <v>0</v>
      </c>
      <c r="K254" t="n">
        <v>0</v>
      </c>
      <c r="L254" t="n">
        <v>0</v>
      </c>
      <c r="M254" t="n">
        <v>0</v>
      </c>
      <c r="N254" t="n">
        <v>0</v>
      </c>
      <c r="O254" t="n">
        <v>0</v>
      </c>
      <c r="P254" t="n">
        <v>0</v>
      </c>
      <c r="Q254" t="n">
        <v>0</v>
      </c>
      <c r="R254" s="2" t="inlineStr"/>
    </row>
    <row r="255" ht="15" customHeight="1">
      <c r="A255" t="inlineStr">
        <is>
          <t>A 11885-2026</t>
        </is>
      </c>
      <c r="B255" s="1" t="n">
        <v>46085.51091435185</v>
      </c>
      <c r="C255" s="1" t="n">
        <v>46189</v>
      </c>
      <c r="D255" t="inlineStr">
        <is>
          <t>VÄSTERBOTTENS LÄN</t>
        </is>
      </c>
      <c r="E255" t="inlineStr">
        <is>
          <t>SORSELE</t>
        </is>
      </c>
      <c r="F255" t="inlineStr">
        <is>
          <t>SCA</t>
        </is>
      </c>
      <c r="G255" t="n">
        <v>40.4</v>
      </c>
      <c r="H255" t="n">
        <v>0</v>
      </c>
      <c r="I255" t="n">
        <v>0</v>
      </c>
      <c r="J255" t="n">
        <v>0</v>
      </c>
      <c r="K255" t="n">
        <v>0</v>
      </c>
      <c r="L255" t="n">
        <v>0</v>
      </c>
      <c r="M255" t="n">
        <v>0</v>
      </c>
      <c r="N255" t="n">
        <v>0</v>
      </c>
      <c r="O255" t="n">
        <v>0</v>
      </c>
      <c r="P255" t="n">
        <v>0</v>
      </c>
      <c r="Q255" t="n">
        <v>0</v>
      </c>
      <c r="R255" s="2" t="inlineStr"/>
    </row>
    <row r="256" ht="15" customHeight="1">
      <c r="A256" t="inlineStr">
        <is>
          <t>A 17367-2023</t>
        </is>
      </c>
      <c r="B256" s="1" t="n">
        <v>45034</v>
      </c>
      <c r="C256" s="1" t="n">
        <v>46189</v>
      </c>
      <c r="D256" t="inlineStr">
        <is>
          <t>VÄSTERBOTTENS LÄN</t>
        </is>
      </c>
      <c r="E256" t="inlineStr">
        <is>
          <t>SORSELE</t>
        </is>
      </c>
      <c r="F256" t="inlineStr">
        <is>
          <t>Övriga statliga verk och myndigheter</t>
        </is>
      </c>
      <c r="G256" t="n">
        <v>132.9</v>
      </c>
      <c r="H256" t="n">
        <v>0</v>
      </c>
      <c r="I256" t="n">
        <v>0</v>
      </c>
      <c r="J256" t="n">
        <v>0</v>
      </c>
      <c r="K256" t="n">
        <v>0</v>
      </c>
      <c r="L256" t="n">
        <v>0</v>
      </c>
      <c r="M256" t="n">
        <v>0</v>
      </c>
      <c r="N256" t="n">
        <v>0</v>
      </c>
      <c r="O256" t="n">
        <v>0</v>
      </c>
      <c r="P256" t="n">
        <v>0</v>
      </c>
      <c r="Q256" t="n">
        <v>0</v>
      </c>
      <c r="R256" s="2" t="inlineStr"/>
    </row>
    <row r="257" ht="15" customHeight="1">
      <c r="A257" t="inlineStr">
        <is>
          <t>A 56415-2022</t>
        </is>
      </c>
      <c r="B257" s="1" t="n">
        <v>44890</v>
      </c>
      <c r="C257" s="1" t="n">
        <v>46189</v>
      </c>
      <c r="D257" t="inlineStr">
        <is>
          <t>VÄSTERBOTTENS LÄN</t>
        </is>
      </c>
      <c r="E257" t="inlineStr">
        <is>
          <t>SORSELE</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44917.53623842593</v>
      </c>
      <c r="C258" s="1" t="n">
        <v>46189</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13236-2026</t>
        </is>
      </c>
      <c r="B259" s="1" t="n">
        <v>46093.63917824074</v>
      </c>
      <c r="C259" s="1" t="n">
        <v>46189</v>
      </c>
      <c r="D259" t="inlineStr">
        <is>
          <t>VÄSTERBOTTENS LÄN</t>
        </is>
      </c>
      <c r="E259" t="inlineStr">
        <is>
          <t>SORSELE</t>
        </is>
      </c>
      <c r="G259" t="n">
        <v>37</v>
      </c>
      <c r="H259" t="n">
        <v>0</v>
      </c>
      <c r="I259" t="n">
        <v>0</v>
      </c>
      <c r="J259" t="n">
        <v>0</v>
      </c>
      <c r="K259" t="n">
        <v>0</v>
      </c>
      <c r="L259" t="n">
        <v>0</v>
      </c>
      <c r="M259" t="n">
        <v>0</v>
      </c>
      <c r="N259" t="n">
        <v>0</v>
      </c>
      <c r="O259" t="n">
        <v>0</v>
      </c>
      <c r="P259" t="n">
        <v>0</v>
      </c>
      <c r="Q259" t="n">
        <v>0</v>
      </c>
      <c r="R259" s="2" t="inlineStr"/>
    </row>
    <row r="260" ht="15" customHeight="1">
      <c r="A260" t="inlineStr">
        <is>
          <t>A 13243-2026</t>
        </is>
      </c>
      <c r="B260" s="1" t="n">
        <v>46093.65123842593</v>
      </c>
      <c r="C260" s="1" t="n">
        <v>46189</v>
      </c>
      <c r="D260" t="inlineStr">
        <is>
          <t>VÄSTERBOTTENS LÄN</t>
        </is>
      </c>
      <c r="E260" t="inlineStr">
        <is>
          <t>SORSELE</t>
        </is>
      </c>
      <c r="G260" t="n">
        <v>6.2</v>
      </c>
      <c r="H260" t="n">
        <v>0</v>
      </c>
      <c r="I260" t="n">
        <v>0</v>
      </c>
      <c r="J260" t="n">
        <v>0</v>
      </c>
      <c r="K260" t="n">
        <v>0</v>
      </c>
      <c r="L260" t="n">
        <v>0</v>
      </c>
      <c r="M260" t="n">
        <v>0</v>
      </c>
      <c r="N260" t="n">
        <v>0</v>
      </c>
      <c r="O260" t="n">
        <v>0</v>
      </c>
      <c r="P260" t="n">
        <v>0</v>
      </c>
      <c r="Q260" t="n">
        <v>0</v>
      </c>
      <c r="R260" s="2" t="inlineStr"/>
    </row>
    <row r="261" ht="15" customHeight="1">
      <c r="A261" t="inlineStr">
        <is>
          <t>A 13561-2026</t>
        </is>
      </c>
      <c r="B261" s="1" t="n">
        <v>46094.79296296297</v>
      </c>
      <c r="C261" s="1" t="n">
        <v>46189</v>
      </c>
      <c r="D261" t="inlineStr">
        <is>
          <t>VÄSTERBOTTENS LÄN</t>
        </is>
      </c>
      <c r="E261" t="inlineStr">
        <is>
          <t>SORSELE</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14063-2026</t>
        </is>
      </c>
      <c r="B262" s="1" t="n">
        <v>46099</v>
      </c>
      <c r="C262" s="1" t="n">
        <v>46189</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50945-2024</t>
        </is>
      </c>
      <c r="B263" s="1" t="n">
        <v>45602</v>
      </c>
      <c r="C263" s="1" t="n">
        <v>46189</v>
      </c>
      <c r="D263" t="inlineStr">
        <is>
          <t>VÄSTERBOTTENS LÄN</t>
        </is>
      </c>
      <c r="E263" t="inlineStr">
        <is>
          <t>SORSELE</t>
        </is>
      </c>
      <c r="G263" t="n">
        <v>12.7</v>
      </c>
      <c r="H263" t="n">
        <v>0</v>
      </c>
      <c r="I263" t="n">
        <v>0</v>
      </c>
      <c r="J263" t="n">
        <v>0</v>
      </c>
      <c r="K263" t="n">
        <v>0</v>
      </c>
      <c r="L263" t="n">
        <v>0</v>
      </c>
      <c r="M263" t="n">
        <v>0</v>
      </c>
      <c r="N263" t="n">
        <v>0</v>
      </c>
      <c r="O263" t="n">
        <v>0</v>
      </c>
      <c r="P263" t="n">
        <v>0</v>
      </c>
      <c r="Q263" t="n">
        <v>0</v>
      </c>
      <c r="R263" s="2" t="inlineStr"/>
    </row>
    <row r="264" ht="15" customHeight="1">
      <c r="A264" t="inlineStr">
        <is>
          <t>A 14057-2026</t>
        </is>
      </c>
      <c r="B264" s="1" t="n">
        <v>46099</v>
      </c>
      <c r="C264" s="1" t="n">
        <v>46189</v>
      </c>
      <c r="D264" t="inlineStr">
        <is>
          <t>VÄSTERBOTTENS LÄN</t>
        </is>
      </c>
      <c r="E264" t="inlineStr">
        <is>
          <t>SORSELE</t>
        </is>
      </c>
      <c r="G264" t="n">
        <v>0.5</v>
      </c>
      <c r="H264" t="n">
        <v>0</v>
      </c>
      <c r="I264" t="n">
        <v>0</v>
      </c>
      <c r="J264" t="n">
        <v>0</v>
      </c>
      <c r="K264" t="n">
        <v>0</v>
      </c>
      <c r="L264" t="n">
        <v>0</v>
      </c>
      <c r="M264" t="n">
        <v>0</v>
      </c>
      <c r="N264" t="n">
        <v>0</v>
      </c>
      <c r="O264" t="n">
        <v>0</v>
      </c>
      <c r="P264" t="n">
        <v>0</v>
      </c>
      <c r="Q264" t="n">
        <v>0</v>
      </c>
      <c r="R264" s="2" t="inlineStr"/>
    </row>
    <row r="265" ht="15" customHeight="1">
      <c r="A265" t="inlineStr">
        <is>
          <t>A 59082-2022</t>
        </is>
      </c>
      <c r="B265" s="1" t="n">
        <v>44897</v>
      </c>
      <c r="C265" s="1" t="n">
        <v>46189</v>
      </c>
      <c r="D265" t="inlineStr">
        <is>
          <t>VÄSTERBOTTENS LÄN</t>
        </is>
      </c>
      <c r="E265" t="inlineStr">
        <is>
          <t>SORSELE</t>
        </is>
      </c>
      <c r="G265" t="n">
        <v>1</v>
      </c>
      <c r="H265" t="n">
        <v>0</v>
      </c>
      <c r="I265" t="n">
        <v>0</v>
      </c>
      <c r="J265" t="n">
        <v>0</v>
      </c>
      <c r="K265" t="n">
        <v>0</v>
      </c>
      <c r="L265" t="n">
        <v>0</v>
      </c>
      <c r="M265" t="n">
        <v>0</v>
      </c>
      <c r="N265" t="n">
        <v>0</v>
      </c>
      <c r="O265" t="n">
        <v>0</v>
      </c>
      <c r="P265" t="n">
        <v>0</v>
      </c>
      <c r="Q265" t="n">
        <v>0</v>
      </c>
      <c r="R265" s="2" t="inlineStr"/>
    </row>
    <row r="266" ht="15" customHeight="1">
      <c r="A266" t="inlineStr">
        <is>
          <t>A 17324-2024</t>
        </is>
      </c>
      <c r="B266" s="1" t="n">
        <v>45414</v>
      </c>
      <c r="C266" s="1" t="n">
        <v>46189</v>
      </c>
      <c r="D266" t="inlineStr">
        <is>
          <t>VÄSTERBOTTENS LÄN</t>
        </is>
      </c>
      <c r="E266" t="inlineStr">
        <is>
          <t>SORSELE</t>
        </is>
      </c>
      <c r="G266" t="n">
        <v>34.5</v>
      </c>
      <c r="H266" t="n">
        <v>0</v>
      </c>
      <c r="I266" t="n">
        <v>0</v>
      </c>
      <c r="J266" t="n">
        <v>0</v>
      </c>
      <c r="K266" t="n">
        <v>0</v>
      </c>
      <c r="L266" t="n">
        <v>0</v>
      </c>
      <c r="M266" t="n">
        <v>0</v>
      </c>
      <c r="N266" t="n">
        <v>0</v>
      </c>
      <c r="O266" t="n">
        <v>0</v>
      </c>
      <c r="P266" t="n">
        <v>0</v>
      </c>
      <c r="Q266" t="n">
        <v>0</v>
      </c>
      <c r="R266" s="2" t="inlineStr"/>
    </row>
    <row r="267" ht="15" customHeight="1">
      <c r="A267" t="inlineStr">
        <is>
          <t>A 8233-2025</t>
        </is>
      </c>
      <c r="B267" s="1" t="n">
        <v>45707</v>
      </c>
      <c r="C267" s="1" t="n">
        <v>46189</v>
      </c>
      <c r="D267" t="inlineStr">
        <is>
          <t>VÄSTERBOTTENS LÄN</t>
        </is>
      </c>
      <c r="E267" t="inlineStr">
        <is>
          <t>SORSELE</t>
        </is>
      </c>
      <c r="G267" t="n">
        <v>36.6</v>
      </c>
      <c r="H267" t="n">
        <v>0</v>
      </c>
      <c r="I267" t="n">
        <v>0</v>
      </c>
      <c r="J267" t="n">
        <v>0</v>
      </c>
      <c r="K267" t="n">
        <v>0</v>
      </c>
      <c r="L267" t="n">
        <v>0</v>
      </c>
      <c r="M267" t="n">
        <v>0</v>
      </c>
      <c r="N267" t="n">
        <v>0</v>
      </c>
      <c r="O267" t="n">
        <v>0</v>
      </c>
      <c r="P267" t="n">
        <v>0</v>
      </c>
      <c r="Q267" t="n">
        <v>0</v>
      </c>
      <c r="R267" s="2" t="inlineStr"/>
    </row>
    <row r="268" ht="15" customHeight="1">
      <c r="A268" t="inlineStr">
        <is>
          <t>A 26037-2025</t>
        </is>
      </c>
      <c r="B268" s="1" t="n">
        <v>45804</v>
      </c>
      <c r="C268" s="1" t="n">
        <v>46189</v>
      </c>
      <c r="D268" t="inlineStr">
        <is>
          <t>VÄSTERBOTTENS LÄN</t>
        </is>
      </c>
      <c r="E268" t="inlineStr">
        <is>
          <t>SORSELE</t>
        </is>
      </c>
      <c r="G268" t="n">
        <v>0.6</v>
      </c>
      <c r="H268" t="n">
        <v>0</v>
      </c>
      <c r="I268" t="n">
        <v>0</v>
      </c>
      <c r="J268" t="n">
        <v>0</v>
      </c>
      <c r="K268" t="n">
        <v>0</v>
      </c>
      <c r="L268" t="n">
        <v>0</v>
      </c>
      <c r="M268" t="n">
        <v>0</v>
      </c>
      <c r="N268" t="n">
        <v>0</v>
      </c>
      <c r="O268" t="n">
        <v>0</v>
      </c>
      <c r="P268" t="n">
        <v>0</v>
      </c>
      <c r="Q268" t="n">
        <v>0</v>
      </c>
      <c r="R268" s="2" t="inlineStr"/>
    </row>
    <row r="269" ht="15" customHeight="1">
      <c r="A269" t="inlineStr">
        <is>
          <t>A 14238-2026</t>
        </is>
      </c>
      <c r="B269" s="1" t="n">
        <v>46098</v>
      </c>
      <c r="C269" s="1" t="n">
        <v>46189</v>
      </c>
      <c r="D269" t="inlineStr">
        <is>
          <t>VÄSTERBOTTENS LÄN</t>
        </is>
      </c>
      <c r="E269" t="inlineStr">
        <is>
          <t>SORSELE</t>
        </is>
      </c>
      <c r="F269" t="inlineStr">
        <is>
          <t>Sveaskog</t>
        </is>
      </c>
      <c r="G269" t="n">
        <v>0.3</v>
      </c>
      <c r="H269" t="n">
        <v>0</v>
      </c>
      <c r="I269" t="n">
        <v>0</v>
      </c>
      <c r="J269" t="n">
        <v>0</v>
      </c>
      <c r="K269" t="n">
        <v>0</v>
      </c>
      <c r="L269" t="n">
        <v>0</v>
      </c>
      <c r="M269" t="n">
        <v>0</v>
      </c>
      <c r="N269" t="n">
        <v>0</v>
      </c>
      <c r="O269" t="n">
        <v>0</v>
      </c>
      <c r="P269" t="n">
        <v>0</v>
      </c>
      <c r="Q269" t="n">
        <v>0</v>
      </c>
      <c r="R269" s="2" t="inlineStr"/>
    </row>
    <row r="270" ht="15" customHeight="1">
      <c r="A270" t="inlineStr">
        <is>
          <t>A 63607-2025</t>
        </is>
      </c>
      <c r="B270" s="1" t="n">
        <v>46014</v>
      </c>
      <c r="C270" s="1" t="n">
        <v>46189</v>
      </c>
      <c r="D270" t="inlineStr">
        <is>
          <t>VÄSTERBOTTENS LÄN</t>
        </is>
      </c>
      <c r="E270" t="inlineStr">
        <is>
          <t>SORSELE</t>
        </is>
      </c>
      <c r="G270" t="n">
        <v>37.1</v>
      </c>
      <c r="H270" t="n">
        <v>0</v>
      </c>
      <c r="I270" t="n">
        <v>0</v>
      </c>
      <c r="J270" t="n">
        <v>0</v>
      </c>
      <c r="K270" t="n">
        <v>0</v>
      </c>
      <c r="L270" t="n">
        <v>0</v>
      </c>
      <c r="M270" t="n">
        <v>0</v>
      </c>
      <c r="N270" t="n">
        <v>0</v>
      </c>
      <c r="O270" t="n">
        <v>0</v>
      </c>
      <c r="P270" t="n">
        <v>0</v>
      </c>
      <c r="Q270" t="n">
        <v>0</v>
      </c>
      <c r="R270" s="2" t="inlineStr"/>
    </row>
    <row r="271" ht="15" customHeight="1">
      <c r="A271" t="inlineStr">
        <is>
          <t>A 26038-2025</t>
        </is>
      </c>
      <c r="B271" s="1" t="n">
        <v>45804</v>
      </c>
      <c r="C271" s="1" t="n">
        <v>46189</v>
      </c>
      <c r="D271" t="inlineStr">
        <is>
          <t>VÄSTERBOTTENS LÄN</t>
        </is>
      </c>
      <c r="E271" t="inlineStr">
        <is>
          <t>SORSELE</t>
        </is>
      </c>
      <c r="G271" t="n">
        <v>1.7</v>
      </c>
      <c r="H271" t="n">
        <v>0</v>
      </c>
      <c r="I271" t="n">
        <v>0</v>
      </c>
      <c r="J271" t="n">
        <v>0</v>
      </c>
      <c r="K271" t="n">
        <v>0</v>
      </c>
      <c r="L271" t="n">
        <v>0</v>
      </c>
      <c r="M271" t="n">
        <v>0</v>
      </c>
      <c r="N271" t="n">
        <v>0</v>
      </c>
      <c r="O271" t="n">
        <v>0</v>
      </c>
      <c r="P271" t="n">
        <v>0</v>
      </c>
      <c r="Q271" t="n">
        <v>0</v>
      </c>
      <c r="R271" s="2" t="inlineStr"/>
    </row>
    <row r="272" ht="15" customHeight="1">
      <c r="A272" t="inlineStr">
        <is>
          <t>A 18180-2024</t>
        </is>
      </c>
      <c r="B272" s="1" t="n">
        <v>45420</v>
      </c>
      <c r="C272" s="1" t="n">
        <v>46189</v>
      </c>
      <c r="D272" t="inlineStr">
        <is>
          <t>VÄSTERBOTTENS LÄN</t>
        </is>
      </c>
      <c r="E272" t="inlineStr">
        <is>
          <t>SORSELE</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26034-2025</t>
        </is>
      </c>
      <c r="B273" s="1" t="n">
        <v>45804</v>
      </c>
      <c r="C273" s="1" t="n">
        <v>46189</v>
      </c>
      <c r="D273" t="inlineStr">
        <is>
          <t>VÄSTERBOTTENS LÄN</t>
        </is>
      </c>
      <c r="E273" t="inlineStr">
        <is>
          <t>SORSELE</t>
        </is>
      </c>
      <c r="G273" t="n">
        <v>4.1</v>
      </c>
      <c r="H273" t="n">
        <v>0</v>
      </c>
      <c r="I273" t="n">
        <v>0</v>
      </c>
      <c r="J273" t="n">
        <v>0</v>
      </c>
      <c r="K273" t="n">
        <v>0</v>
      </c>
      <c r="L273" t="n">
        <v>0</v>
      </c>
      <c r="M273" t="n">
        <v>0</v>
      </c>
      <c r="N273" t="n">
        <v>0</v>
      </c>
      <c r="O273" t="n">
        <v>0</v>
      </c>
      <c r="P273" t="n">
        <v>0</v>
      </c>
      <c r="Q273" t="n">
        <v>0</v>
      </c>
      <c r="R273" s="2" t="inlineStr"/>
    </row>
    <row r="274" ht="15" customHeight="1">
      <c r="A274" t="inlineStr">
        <is>
          <t>A 38408-2023</t>
        </is>
      </c>
      <c r="B274" s="1" t="n">
        <v>45160</v>
      </c>
      <c r="C274" s="1" t="n">
        <v>46189</v>
      </c>
      <c r="D274" t="inlineStr">
        <is>
          <t>VÄSTERBOTTENS LÄN</t>
        </is>
      </c>
      <c r="E274" t="inlineStr">
        <is>
          <t>SORSELE</t>
        </is>
      </c>
      <c r="F274" t="inlineStr">
        <is>
          <t>Kommuner</t>
        </is>
      </c>
      <c r="G274" t="n">
        <v>7</v>
      </c>
      <c r="H274" t="n">
        <v>0</v>
      </c>
      <c r="I274" t="n">
        <v>0</v>
      </c>
      <c r="J274" t="n">
        <v>0</v>
      </c>
      <c r="K274" t="n">
        <v>0</v>
      </c>
      <c r="L274" t="n">
        <v>0</v>
      </c>
      <c r="M274" t="n">
        <v>0</v>
      </c>
      <c r="N274" t="n">
        <v>0</v>
      </c>
      <c r="O274" t="n">
        <v>0</v>
      </c>
      <c r="P274" t="n">
        <v>0</v>
      </c>
      <c r="Q274" t="n">
        <v>0</v>
      </c>
      <c r="R274" s="2" t="inlineStr"/>
    </row>
    <row r="275" ht="15" customHeight="1">
      <c r="A275" t="inlineStr">
        <is>
          <t>A 26033-2025</t>
        </is>
      </c>
      <c r="B275" s="1" t="n">
        <v>45804</v>
      </c>
      <c r="C275" s="1" t="n">
        <v>46189</v>
      </c>
      <c r="D275" t="inlineStr">
        <is>
          <t>VÄSTERBOTTENS LÄN</t>
        </is>
      </c>
      <c r="E275" t="inlineStr">
        <is>
          <t>SORSELE</t>
        </is>
      </c>
      <c r="G275" t="n">
        <v>3.2</v>
      </c>
      <c r="H275" t="n">
        <v>0</v>
      </c>
      <c r="I275" t="n">
        <v>0</v>
      </c>
      <c r="J275" t="n">
        <v>0</v>
      </c>
      <c r="K275" t="n">
        <v>0</v>
      </c>
      <c r="L275" t="n">
        <v>0</v>
      </c>
      <c r="M275" t="n">
        <v>0</v>
      </c>
      <c r="N275" t="n">
        <v>0</v>
      </c>
      <c r="O275" t="n">
        <v>0</v>
      </c>
      <c r="P275" t="n">
        <v>0</v>
      </c>
      <c r="Q275" t="n">
        <v>0</v>
      </c>
      <c r="R275" s="2" t="inlineStr"/>
    </row>
    <row r="276" ht="15" customHeight="1">
      <c r="A276" t="inlineStr">
        <is>
          <t>A 21564-2026</t>
        </is>
      </c>
      <c r="B276" s="1" t="n">
        <v>46148.67243055555</v>
      </c>
      <c r="C276" s="1" t="n">
        <v>46189</v>
      </c>
      <c r="D276" t="inlineStr">
        <is>
          <t>VÄSTERBOTTENS LÄN</t>
        </is>
      </c>
      <c r="E276" t="inlineStr">
        <is>
          <t>SORSELE</t>
        </is>
      </c>
      <c r="G276" t="n">
        <v>8.5</v>
      </c>
      <c r="H276" t="n">
        <v>0</v>
      </c>
      <c r="I276" t="n">
        <v>0</v>
      </c>
      <c r="J276" t="n">
        <v>0</v>
      </c>
      <c r="K276" t="n">
        <v>0</v>
      </c>
      <c r="L276" t="n">
        <v>0</v>
      </c>
      <c r="M276" t="n">
        <v>0</v>
      </c>
      <c r="N276" t="n">
        <v>0</v>
      </c>
      <c r="O276" t="n">
        <v>0</v>
      </c>
      <c r="P276" t="n">
        <v>0</v>
      </c>
      <c r="Q276" t="n">
        <v>0</v>
      </c>
      <c r="R276" s="2" t="inlineStr"/>
    </row>
    <row r="277" ht="15" customHeight="1">
      <c r="A277" t="inlineStr">
        <is>
          <t>A 9784-2023</t>
        </is>
      </c>
      <c r="B277" s="1" t="n">
        <v>44984</v>
      </c>
      <c r="C277" s="1" t="n">
        <v>46189</v>
      </c>
      <c r="D277" t="inlineStr">
        <is>
          <t>VÄSTERBOTTENS LÄN</t>
        </is>
      </c>
      <c r="E277" t="inlineStr">
        <is>
          <t>SORSELE</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26036-2025</t>
        </is>
      </c>
      <c r="B278" s="1" t="n">
        <v>45804</v>
      </c>
      <c r="C278" s="1" t="n">
        <v>46189</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9377-2025</t>
        </is>
      </c>
      <c r="B279" s="1" t="n">
        <v>45715</v>
      </c>
      <c r="C279" s="1" t="n">
        <v>46189</v>
      </c>
      <c r="D279" t="inlineStr">
        <is>
          <t>VÄSTERBOTTENS LÄN</t>
        </is>
      </c>
      <c r="E279" t="inlineStr">
        <is>
          <t>SORSELE</t>
        </is>
      </c>
      <c r="G279" t="n">
        <v>24.4</v>
      </c>
      <c r="H279" t="n">
        <v>0</v>
      </c>
      <c r="I279" t="n">
        <v>0</v>
      </c>
      <c r="J279" t="n">
        <v>0</v>
      </c>
      <c r="K279" t="n">
        <v>0</v>
      </c>
      <c r="L279" t="n">
        <v>0</v>
      </c>
      <c r="M279" t="n">
        <v>0</v>
      </c>
      <c r="N279" t="n">
        <v>0</v>
      </c>
      <c r="O279" t="n">
        <v>0</v>
      </c>
      <c r="P279" t="n">
        <v>0</v>
      </c>
      <c r="Q279" t="n">
        <v>0</v>
      </c>
      <c r="R279" s="2" t="inlineStr"/>
    </row>
    <row r="280" ht="15" customHeight="1">
      <c r="A280" t="inlineStr">
        <is>
          <t>A 9377-2025</t>
        </is>
      </c>
      <c r="B280" s="1" t="n">
        <v>45715</v>
      </c>
      <c r="C280" s="1" t="n">
        <v>46189</v>
      </c>
      <c r="D280" t="inlineStr">
        <is>
          <t>VÄSTERBOTTENS LÄN</t>
        </is>
      </c>
      <c r="E280" t="inlineStr">
        <is>
          <t>SORSELE</t>
        </is>
      </c>
      <c r="G280" t="n">
        <v>3.5</v>
      </c>
      <c r="H280" t="n">
        <v>0</v>
      </c>
      <c r="I280" t="n">
        <v>0</v>
      </c>
      <c r="J280" t="n">
        <v>0</v>
      </c>
      <c r="K280" t="n">
        <v>0</v>
      </c>
      <c r="L280" t="n">
        <v>0</v>
      </c>
      <c r="M280" t="n">
        <v>0</v>
      </c>
      <c r="N280" t="n">
        <v>0</v>
      </c>
      <c r="O280" t="n">
        <v>0</v>
      </c>
      <c r="P280" t="n">
        <v>0</v>
      </c>
      <c r="Q280" t="n">
        <v>0</v>
      </c>
      <c r="R280" s="2" t="inlineStr"/>
    </row>
    <row r="281" ht="15" customHeight="1">
      <c r="A281" t="inlineStr">
        <is>
          <t>A 26027-2025</t>
        </is>
      </c>
      <c r="B281" s="1" t="n">
        <v>45804</v>
      </c>
      <c r="C281" s="1" t="n">
        <v>46189</v>
      </c>
      <c r="D281" t="inlineStr">
        <is>
          <t>VÄSTERBOTTENS LÄN</t>
        </is>
      </c>
      <c r="E281" t="inlineStr">
        <is>
          <t>SORSELE</t>
        </is>
      </c>
      <c r="G281" t="n">
        <v>3.8</v>
      </c>
      <c r="H281" t="n">
        <v>0</v>
      </c>
      <c r="I281" t="n">
        <v>0</v>
      </c>
      <c r="J281" t="n">
        <v>0</v>
      </c>
      <c r="K281" t="n">
        <v>0</v>
      </c>
      <c r="L281" t="n">
        <v>0</v>
      </c>
      <c r="M281" t="n">
        <v>0</v>
      </c>
      <c r="N281" t="n">
        <v>0</v>
      </c>
      <c r="O281" t="n">
        <v>0</v>
      </c>
      <c r="P281" t="n">
        <v>0</v>
      </c>
      <c r="Q281" t="n">
        <v>0</v>
      </c>
      <c r="R281" s="2" t="inlineStr"/>
    </row>
    <row r="282" ht="15" customHeight="1">
      <c r="A282" t="inlineStr">
        <is>
          <t>A 21948-2026</t>
        </is>
      </c>
      <c r="B282" s="1" t="n">
        <v>46151.54300925926</v>
      </c>
      <c r="C282" s="1" t="n">
        <v>46189</v>
      </c>
      <c r="D282" t="inlineStr">
        <is>
          <t>VÄSTERBOTTENS LÄN</t>
        </is>
      </c>
      <c r="E282" t="inlineStr">
        <is>
          <t>SORSELE</t>
        </is>
      </c>
      <c r="G282" t="n">
        <v>7.5</v>
      </c>
      <c r="H282" t="n">
        <v>0</v>
      </c>
      <c r="I282" t="n">
        <v>0</v>
      </c>
      <c r="J282" t="n">
        <v>0</v>
      </c>
      <c r="K282" t="n">
        <v>0</v>
      </c>
      <c r="L282" t="n">
        <v>0</v>
      </c>
      <c r="M282" t="n">
        <v>0</v>
      </c>
      <c r="N282" t="n">
        <v>0</v>
      </c>
      <c r="O282" t="n">
        <v>0</v>
      </c>
      <c r="P282" t="n">
        <v>0</v>
      </c>
      <c r="Q282" t="n">
        <v>0</v>
      </c>
      <c r="R282" s="2" t="inlineStr"/>
    </row>
    <row r="283" ht="15" customHeight="1">
      <c r="A283" t="inlineStr">
        <is>
          <t>A 15002-2022</t>
        </is>
      </c>
      <c r="B283" s="1" t="n">
        <v>44657</v>
      </c>
      <c r="C283" s="1" t="n">
        <v>46189</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15008-2022</t>
        </is>
      </c>
      <c r="B284" s="1" t="n">
        <v>44657</v>
      </c>
      <c r="C284" s="1" t="n">
        <v>46189</v>
      </c>
      <c r="D284" t="inlineStr">
        <is>
          <t>VÄSTERBOTTENS LÄN</t>
        </is>
      </c>
      <c r="E284" t="inlineStr">
        <is>
          <t>SORSELE</t>
        </is>
      </c>
      <c r="G284" t="n">
        <v>8</v>
      </c>
      <c r="H284" t="n">
        <v>0</v>
      </c>
      <c r="I284" t="n">
        <v>0</v>
      </c>
      <c r="J284" t="n">
        <v>0</v>
      </c>
      <c r="K284" t="n">
        <v>0</v>
      </c>
      <c r="L284" t="n">
        <v>0</v>
      </c>
      <c r="M284" t="n">
        <v>0</v>
      </c>
      <c r="N284" t="n">
        <v>0</v>
      </c>
      <c r="O284" t="n">
        <v>0</v>
      </c>
      <c r="P284" t="n">
        <v>0</v>
      </c>
      <c r="Q284" t="n">
        <v>0</v>
      </c>
      <c r="R284" s="2" t="inlineStr"/>
    </row>
    <row r="285" ht="15" customHeight="1">
      <c r="A285" t="inlineStr">
        <is>
          <t>A 16433-2026</t>
        </is>
      </c>
      <c r="B285" s="1" t="n">
        <v>46111</v>
      </c>
      <c r="C285" s="1" t="n">
        <v>46189</v>
      </c>
      <c r="D285" t="inlineStr">
        <is>
          <t>VÄSTERBOTTENS LÄN</t>
        </is>
      </c>
      <c r="E285" t="inlineStr">
        <is>
          <t>SORSELE</t>
        </is>
      </c>
      <c r="G285" t="n">
        <v>99.5</v>
      </c>
      <c r="H285" t="n">
        <v>0</v>
      </c>
      <c r="I285" t="n">
        <v>0</v>
      </c>
      <c r="J285" t="n">
        <v>0</v>
      </c>
      <c r="K285" t="n">
        <v>0</v>
      </c>
      <c r="L285" t="n">
        <v>0</v>
      </c>
      <c r="M285" t="n">
        <v>0</v>
      </c>
      <c r="N285" t="n">
        <v>0</v>
      </c>
      <c r="O285" t="n">
        <v>0</v>
      </c>
      <c r="P285" t="n">
        <v>0</v>
      </c>
      <c r="Q285" t="n">
        <v>0</v>
      </c>
      <c r="R285" s="2" t="inlineStr"/>
    </row>
    <row r="286" ht="15" customHeight="1">
      <c r="A286" t="inlineStr">
        <is>
          <t>A 45560-2022</t>
        </is>
      </c>
      <c r="B286" s="1" t="n">
        <v>44841</v>
      </c>
      <c r="C286" s="1" t="n">
        <v>46189</v>
      </c>
      <c r="D286" t="inlineStr">
        <is>
          <t>VÄSTERBOTTENS LÄN</t>
        </is>
      </c>
      <c r="E286" t="inlineStr">
        <is>
          <t>SORSELE</t>
        </is>
      </c>
      <c r="G286" t="n">
        <v>26.2</v>
      </c>
      <c r="H286" t="n">
        <v>0</v>
      </c>
      <c r="I286" t="n">
        <v>0</v>
      </c>
      <c r="J286" t="n">
        <v>0</v>
      </c>
      <c r="K286" t="n">
        <v>0</v>
      </c>
      <c r="L286" t="n">
        <v>0</v>
      </c>
      <c r="M286" t="n">
        <v>0</v>
      </c>
      <c r="N286" t="n">
        <v>0</v>
      </c>
      <c r="O286" t="n">
        <v>0</v>
      </c>
      <c r="P286" t="n">
        <v>0</v>
      </c>
      <c r="Q286" t="n">
        <v>0</v>
      </c>
      <c r="R286" s="2" t="inlineStr"/>
    </row>
    <row r="287" ht="15" customHeight="1">
      <c r="A287" t="inlineStr">
        <is>
          <t>A 58676-2024</t>
        </is>
      </c>
      <c r="B287" s="1" t="n">
        <v>45635</v>
      </c>
      <c r="C287" s="1" t="n">
        <v>46189</v>
      </c>
      <c r="D287" t="inlineStr">
        <is>
          <t>VÄSTERBOTTENS LÄN</t>
        </is>
      </c>
      <c r="E287" t="inlineStr">
        <is>
          <t>SORSELE</t>
        </is>
      </c>
      <c r="G287" t="n">
        <v>1.8</v>
      </c>
      <c r="H287" t="n">
        <v>0</v>
      </c>
      <c r="I287" t="n">
        <v>0</v>
      </c>
      <c r="J287" t="n">
        <v>0</v>
      </c>
      <c r="K287" t="n">
        <v>0</v>
      </c>
      <c r="L287" t="n">
        <v>0</v>
      </c>
      <c r="M287" t="n">
        <v>0</v>
      </c>
      <c r="N287" t="n">
        <v>0</v>
      </c>
      <c r="O287" t="n">
        <v>0</v>
      </c>
      <c r="P287" t="n">
        <v>0</v>
      </c>
      <c r="Q287" t="n">
        <v>0</v>
      </c>
      <c r="R287" s="2" t="inlineStr"/>
    </row>
    <row r="288" ht="15" customHeight="1">
      <c r="A288" t="inlineStr">
        <is>
          <t>A 15856-2025</t>
        </is>
      </c>
      <c r="B288" s="1" t="n">
        <v>45749.34060185185</v>
      </c>
      <c r="C288" s="1" t="n">
        <v>46189</v>
      </c>
      <c r="D288" t="inlineStr">
        <is>
          <t>VÄSTERBOTTENS LÄN</t>
        </is>
      </c>
      <c r="E288" t="inlineStr">
        <is>
          <t>SORSELE</t>
        </is>
      </c>
      <c r="G288" t="n">
        <v>2.9</v>
      </c>
      <c r="H288" t="n">
        <v>0</v>
      </c>
      <c r="I288" t="n">
        <v>0</v>
      </c>
      <c r="J288" t="n">
        <v>0</v>
      </c>
      <c r="K288" t="n">
        <v>0</v>
      </c>
      <c r="L288" t="n">
        <v>0</v>
      </c>
      <c r="M288" t="n">
        <v>0</v>
      </c>
      <c r="N288" t="n">
        <v>0</v>
      </c>
      <c r="O288" t="n">
        <v>0</v>
      </c>
      <c r="P288" t="n">
        <v>0</v>
      </c>
      <c r="Q288" t="n">
        <v>0</v>
      </c>
      <c r="R288" s="2" t="inlineStr"/>
    </row>
    <row r="289" ht="15" customHeight="1">
      <c r="A289" t="inlineStr">
        <is>
          <t>A 9816-2023</t>
        </is>
      </c>
      <c r="B289" s="1" t="n">
        <v>44978</v>
      </c>
      <c r="C289" s="1" t="n">
        <v>46189</v>
      </c>
      <c r="D289" t="inlineStr">
        <is>
          <t>VÄSTERBOTTENS LÄN</t>
        </is>
      </c>
      <c r="E289" t="inlineStr">
        <is>
          <t>SORSELE</t>
        </is>
      </c>
      <c r="G289" t="n">
        <v>2.1</v>
      </c>
      <c r="H289" t="n">
        <v>0</v>
      </c>
      <c r="I289" t="n">
        <v>0</v>
      </c>
      <c r="J289" t="n">
        <v>0</v>
      </c>
      <c r="K289" t="n">
        <v>0</v>
      </c>
      <c r="L289" t="n">
        <v>0</v>
      </c>
      <c r="M289" t="n">
        <v>0</v>
      </c>
      <c r="N289" t="n">
        <v>0</v>
      </c>
      <c r="O289" t="n">
        <v>0</v>
      </c>
      <c r="P289" t="n">
        <v>0</v>
      </c>
      <c r="Q289" t="n">
        <v>0</v>
      </c>
      <c r="R289" s="2" t="inlineStr"/>
    </row>
    <row r="290" ht="15" customHeight="1">
      <c r="A290" t="inlineStr">
        <is>
          <t>A 47981-2024</t>
        </is>
      </c>
      <c r="B290" s="1" t="n">
        <v>45589</v>
      </c>
      <c r="C290" s="1" t="n">
        <v>46189</v>
      </c>
      <c r="D290" t="inlineStr">
        <is>
          <t>VÄSTERBOTTENS LÄN</t>
        </is>
      </c>
      <c r="E290" t="inlineStr">
        <is>
          <t>SORSELE</t>
        </is>
      </c>
      <c r="G290" t="n">
        <v>6.4</v>
      </c>
      <c r="H290" t="n">
        <v>0</v>
      </c>
      <c r="I290" t="n">
        <v>0</v>
      </c>
      <c r="J290" t="n">
        <v>0</v>
      </c>
      <c r="K290" t="n">
        <v>0</v>
      </c>
      <c r="L290" t="n">
        <v>0</v>
      </c>
      <c r="M290" t="n">
        <v>0</v>
      </c>
      <c r="N290" t="n">
        <v>0</v>
      </c>
      <c r="O290" t="n">
        <v>0</v>
      </c>
      <c r="P290" t="n">
        <v>0</v>
      </c>
      <c r="Q290" t="n">
        <v>0</v>
      </c>
      <c r="R290" s="2" t="inlineStr"/>
    </row>
    <row r="291" ht="15" customHeight="1">
      <c r="A291" t="inlineStr">
        <is>
          <t>A 37038-2023</t>
        </is>
      </c>
      <c r="B291" s="1" t="n">
        <v>45155</v>
      </c>
      <c r="C291" s="1" t="n">
        <v>46189</v>
      </c>
      <c r="D291" t="inlineStr">
        <is>
          <t>VÄSTERBOTTENS LÄN</t>
        </is>
      </c>
      <c r="E291" t="inlineStr">
        <is>
          <t>SORSELE</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26582-2023</t>
        </is>
      </c>
      <c r="B292" s="1" t="n">
        <v>45090</v>
      </c>
      <c r="C292" s="1" t="n">
        <v>46189</v>
      </c>
      <c r="D292" t="inlineStr">
        <is>
          <t>VÄSTERBOTTENS LÄN</t>
        </is>
      </c>
      <c r="E292" t="inlineStr">
        <is>
          <t>SORSELE</t>
        </is>
      </c>
      <c r="G292" t="n">
        <v>5.9</v>
      </c>
      <c r="H292" t="n">
        <v>0</v>
      </c>
      <c r="I292" t="n">
        <v>0</v>
      </c>
      <c r="J292" t="n">
        <v>0</v>
      </c>
      <c r="K292" t="n">
        <v>0</v>
      </c>
      <c r="L292" t="n">
        <v>0</v>
      </c>
      <c r="M292" t="n">
        <v>0</v>
      </c>
      <c r="N292" t="n">
        <v>0</v>
      </c>
      <c r="O292" t="n">
        <v>0</v>
      </c>
      <c r="P292" t="n">
        <v>0</v>
      </c>
      <c r="Q292" t="n">
        <v>0</v>
      </c>
      <c r="R292" s="2" t="inlineStr"/>
    </row>
    <row r="293" ht="15" customHeight="1">
      <c r="A293" t="inlineStr">
        <is>
          <t>A 23721-2026</t>
        </is>
      </c>
      <c r="B293" s="1" t="n">
        <v>46164.46928240741</v>
      </c>
      <c r="C293" s="1" t="n">
        <v>46189</v>
      </c>
      <c r="D293" t="inlineStr">
        <is>
          <t>VÄSTERBOTTENS LÄN</t>
        </is>
      </c>
      <c r="E293" t="inlineStr">
        <is>
          <t>SORSELE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23722-2026</t>
        </is>
      </c>
      <c r="B294" s="1" t="n">
        <v>46164.46946759259</v>
      </c>
      <c r="C294" s="1" t="n">
        <v>46189</v>
      </c>
      <c r="D294" t="inlineStr">
        <is>
          <t>VÄSTERBOTTENS LÄN</t>
        </is>
      </c>
      <c r="E294" t="inlineStr">
        <is>
          <t>SORSELE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37256-2023</t>
        </is>
      </c>
      <c r="B295" s="1" t="n">
        <v>45155</v>
      </c>
      <c r="C295" s="1" t="n">
        <v>46189</v>
      </c>
      <c r="D295" t="inlineStr">
        <is>
          <t>VÄSTERBOTTENS LÄN</t>
        </is>
      </c>
      <c r="E295" t="inlineStr">
        <is>
          <t>SORSELE</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11975-2025</t>
        </is>
      </c>
      <c r="B296" s="1" t="n">
        <v>45728.59210648148</v>
      </c>
      <c r="C296" s="1" t="n">
        <v>46189</v>
      </c>
      <c r="D296" t="inlineStr">
        <is>
          <t>VÄSTERBOTTENS LÄN</t>
        </is>
      </c>
      <c r="E296" t="inlineStr">
        <is>
          <t>SORSELE</t>
        </is>
      </c>
      <c r="G296" t="n">
        <v>3.2</v>
      </c>
      <c r="H296" t="n">
        <v>0</v>
      </c>
      <c r="I296" t="n">
        <v>0</v>
      </c>
      <c r="J296" t="n">
        <v>0</v>
      </c>
      <c r="K296" t="n">
        <v>0</v>
      </c>
      <c r="L296" t="n">
        <v>0</v>
      </c>
      <c r="M296" t="n">
        <v>0</v>
      </c>
      <c r="N296" t="n">
        <v>0</v>
      </c>
      <c r="O296" t="n">
        <v>0</v>
      </c>
      <c r="P296" t="n">
        <v>0</v>
      </c>
      <c r="Q296" t="n">
        <v>0</v>
      </c>
      <c r="R296" s="2" t="inlineStr"/>
    </row>
    <row r="297" ht="15" customHeight="1">
      <c r="A297" t="inlineStr">
        <is>
          <t>A 38947-2024</t>
        </is>
      </c>
      <c r="B297" s="1" t="n">
        <v>45548.34546296296</v>
      </c>
      <c r="C297" s="1" t="n">
        <v>46189</v>
      </c>
      <c r="D297" t="inlineStr">
        <is>
          <t>VÄSTERBOTTENS LÄN</t>
        </is>
      </c>
      <c r="E297" t="inlineStr">
        <is>
          <t>SORSELE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24293-2026</t>
        </is>
      </c>
      <c r="B298" s="1" t="n">
        <v>46169.4252662037</v>
      </c>
      <c r="C298" s="1" t="n">
        <v>46189</v>
      </c>
      <c r="D298" t="inlineStr">
        <is>
          <t>VÄSTERBOTTENS LÄN</t>
        </is>
      </c>
      <c r="E298" t="inlineStr">
        <is>
          <t>SORSELE</t>
        </is>
      </c>
      <c r="G298" t="n">
        <v>6</v>
      </c>
      <c r="H298" t="n">
        <v>0</v>
      </c>
      <c r="I298" t="n">
        <v>0</v>
      </c>
      <c r="J298" t="n">
        <v>0</v>
      </c>
      <c r="K298" t="n">
        <v>0</v>
      </c>
      <c r="L298" t="n">
        <v>0</v>
      </c>
      <c r="M298" t="n">
        <v>0</v>
      </c>
      <c r="N298" t="n">
        <v>0</v>
      </c>
      <c r="O298" t="n">
        <v>0</v>
      </c>
      <c r="P298" t="n">
        <v>0</v>
      </c>
      <c r="Q298" t="n">
        <v>0</v>
      </c>
      <c r="R298" s="2" t="inlineStr"/>
    </row>
    <row r="299" ht="15" customHeight="1">
      <c r="A299" t="inlineStr">
        <is>
          <t>A 19454-2026</t>
        </is>
      </c>
      <c r="B299" s="1" t="n">
        <v>46129</v>
      </c>
      <c r="C299" s="1" t="n">
        <v>46189</v>
      </c>
      <c r="D299" t="inlineStr">
        <is>
          <t>VÄSTERBOTTENS LÄN</t>
        </is>
      </c>
      <c r="E299" t="inlineStr">
        <is>
          <t>SORSELE</t>
        </is>
      </c>
      <c r="G299" t="n">
        <v>0.7</v>
      </c>
      <c r="H299" t="n">
        <v>0</v>
      </c>
      <c r="I299" t="n">
        <v>0</v>
      </c>
      <c r="J299" t="n">
        <v>0</v>
      </c>
      <c r="K299" t="n">
        <v>0</v>
      </c>
      <c r="L299" t="n">
        <v>0</v>
      </c>
      <c r="M299" t="n">
        <v>0</v>
      </c>
      <c r="N299" t="n">
        <v>0</v>
      </c>
      <c r="O299" t="n">
        <v>0</v>
      </c>
      <c r="P299" t="n">
        <v>0</v>
      </c>
      <c r="Q299" t="n">
        <v>0</v>
      </c>
      <c r="R299" s="2" t="inlineStr"/>
    </row>
    <row r="300" ht="15" customHeight="1">
      <c r="A300" t="inlineStr">
        <is>
          <t>A 18808-2026</t>
        </is>
      </c>
      <c r="B300" s="1" t="n">
        <v>46128.63622685185</v>
      </c>
      <c r="C300" s="1" t="n">
        <v>46189</v>
      </c>
      <c r="D300" t="inlineStr">
        <is>
          <t>VÄSTERBOTTENS LÄN</t>
        </is>
      </c>
      <c r="E300" t="inlineStr">
        <is>
          <t>SORSELE</t>
        </is>
      </c>
      <c r="F300" t="inlineStr">
        <is>
          <t>SCA</t>
        </is>
      </c>
      <c r="G300" t="n">
        <v>5.2</v>
      </c>
      <c r="H300" t="n">
        <v>0</v>
      </c>
      <c r="I300" t="n">
        <v>0</v>
      </c>
      <c r="J300" t="n">
        <v>0</v>
      </c>
      <c r="K300" t="n">
        <v>0</v>
      </c>
      <c r="L300" t="n">
        <v>0</v>
      </c>
      <c r="M300" t="n">
        <v>0</v>
      </c>
      <c r="N300" t="n">
        <v>0</v>
      </c>
      <c r="O300" t="n">
        <v>0</v>
      </c>
      <c r="P300" t="n">
        <v>0</v>
      </c>
      <c r="Q300" t="n">
        <v>0</v>
      </c>
      <c r="R300" s="2" t="inlineStr"/>
    </row>
    <row r="301" ht="15" customHeight="1">
      <c r="A301" t="inlineStr">
        <is>
          <t>A 18814-2026</t>
        </is>
      </c>
      <c r="B301" s="1" t="n">
        <v>46128.65696759259</v>
      </c>
      <c r="C301" s="1" t="n">
        <v>46189</v>
      </c>
      <c r="D301" t="inlineStr">
        <is>
          <t>VÄSTERBOTTENS LÄN</t>
        </is>
      </c>
      <c r="E301" t="inlineStr">
        <is>
          <t>SORSELE</t>
        </is>
      </c>
      <c r="F301" t="inlineStr">
        <is>
          <t>SCA</t>
        </is>
      </c>
      <c r="G301" t="n">
        <v>16.6</v>
      </c>
      <c r="H301" t="n">
        <v>0</v>
      </c>
      <c r="I301" t="n">
        <v>0</v>
      </c>
      <c r="J301" t="n">
        <v>0</v>
      </c>
      <c r="K301" t="n">
        <v>0</v>
      </c>
      <c r="L301" t="n">
        <v>0</v>
      </c>
      <c r="M301" t="n">
        <v>0</v>
      </c>
      <c r="N301" t="n">
        <v>0</v>
      </c>
      <c r="O301" t="n">
        <v>0</v>
      </c>
      <c r="P301" t="n">
        <v>0</v>
      </c>
      <c r="Q301" t="n">
        <v>0</v>
      </c>
      <c r="R301" s="2" t="inlineStr"/>
    </row>
    <row r="302" ht="15" customHeight="1">
      <c r="A302" t="inlineStr">
        <is>
          <t>A 6224-2025</t>
        </is>
      </c>
      <c r="B302" s="1" t="n">
        <v>45697</v>
      </c>
      <c r="C302" s="1" t="n">
        <v>46189</v>
      </c>
      <c r="D302" t="inlineStr">
        <is>
          <t>VÄSTERBOTTENS LÄN</t>
        </is>
      </c>
      <c r="E302" t="inlineStr">
        <is>
          <t>SORSELE</t>
        </is>
      </c>
      <c r="G302" t="n">
        <v>4.6</v>
      </c>
      <c r="H302" t="n">
        <v>0</v>
      </c>
      <c r="I302" t="n">
        <v>0</v>
      </c>
      <c r="J302" t="n">
        <v>0</v>
      </c>
      <c r="K302" t="n">
        <v>0</v>
      </c>
      <c r="L302" t="n">
        <v>0</v>
      </c>
      <c r="M302" t="n">
        <v>0</v>
      </c>
      <c r="N302" t="n">
        <v>0</v>
      </c>
      <c r="O302" t="n">
        <v>0</v>
      </c>
      <c r="P302" t="n">
        <v>0</v>
      </c>
      <c r="Q302" t="n">
        <v>0</v>
      </c>
      <c r="R302" s="2" t="inlineStr"/>
    </row>
    <row r="303" ht="15" customHeight="1">
      <c r="A303" t="inlineStr">
        <is>
          <t>A 18851-2026</t>
        </is>
      </c>
      <c r="B303" s="1" t="n">
        <v>46129</v>
      </c>
      <c r="C303" s="1" t="n">
        <v>46189</v>
      </c>
      <c r="D303" t="inlineStr">
        <is>
          <t>VÄSTERBOTTENS LÄN</t>
        </is>
      </c>
      <c r="E303" t="inlineStr">
        <is>
          <t>SORSELE</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18816-2026</t>
        </is>
      </c>
      <c r="B304" s="1" t="n">
        <v>46128.65743055556</v>
      </c>
      <c r="C304" s="1" t="n">
        <v>46189</v>
      </c>
      <c r="D304" t="inlineStr">
        <is>
          <t>VÄSTERBOTTENS LÄN</t>
        </is>
      </c>
      <c r="E304" t="inlineStr">
        <is>
          <t>SORSELE</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25187-2026</t>
        </is>
      </c>
      <c r="B305" s="1" t="n">
        <v>46175.5737037037</v>
      </c>
      <c r="C305" s="1" t="n">
        <v>46189</v>
      </c>
      <c r="D305" t="inlineStr">
        <is>
          <t>VÄSTERBOTTENS LÄN</t>
        </is>
      </c>
      <c r="E305" t="inlineStr">
        <is>
          <t>SORSELE</t>
        </is>
      </c>
      <c r="F305" t="inlineStr">
        <is>
          <t>SCA</t>
        </is>
      </c>
      <c r="G305" t="n">
        <v>4</v>
      </c>
      <c r="H305" t="n">
        <v>0</v>
      </c>
      <c r="I305" t="n">
        <v>0</v>
      </c>
      <c r="J305" t="n">
        <v>0</v>
      </c>
      <c r="K305" t="n">
        <v>0</v>
      </c>
      <c r="L305" t="n">
        <v>0</v>
      </c>
      <c r="M305" t="n">
        <v>0</v>
      </c>
      <c r="N305" t="n">
        <v>0</v>
      </c>
      <c r="O305" t="n">
        <v>0</v>
      </c>
      <c r="P305" t="n">
        <v>0</v>
      </c>
      <c r="Q305" t="n">
        <v>0</v>
      </c>
      <c r="R305" s="2" t="inlineStr"/>
    </row>
    <row r="306" ht="15" customHeight="1">
      <c r="A306" t="inlineStr">
        <is>
          <t>A 25122-2026</t>
        </is>
      </c>
      <c r="B306" s="1" t="n">
        <v>46175.38520833333</v>
      </c>
      <c r="C306" s="1" t="n">
        <v>46189</v>
      </c>
      <c r="D306" t="inlineStr">
        <is>
          <t>VÄSTERBOTTENS LÄN</t>
        </is>
      </c>
      <c r="E306" t="inlineStr">
        <is>
          <t>SORSELE</t>
        </is>
      </c>
      <c r="G306" t="n">
        <v>8.4</v>
      </c>
      <c r="H306" t="n">
        <v>0</v>
      </c>
      <c r="I306" t="n">
        <v>0</v>
      </c>
      <c r="J306" t="n">
        <v>0</v>
      </c>
      <c r="K306" t="n">
        <v>0</v>
      </c>
      <c r="L306" t="n">
        <v>0</v>
      </c>
      <c r="M306" t="n">
        <v>0</v>
      </c>
      <c r="N306" t="n">
        <v>0</v>
      </c>
      <c r="O306" t="n">
        <v>0</v>
      </c>
      <c r="P306" t="n">
        <v>0</v>
      </c>
      <c r="Q306" t="n">
        <v>0</v>
      </c>
      <c r="R306" s="2" t="inlineStr"/>
    </row>
    <row r="307" ht="15" customHeight="1">
      <c r="A307" t="inlineStr">
        <is>
          <t>A 25259-2026</t>
        </is>
      </c>
      <c r="B307" s="1" t="n">
        <v>46175</v>
      </c>
      <c r="C307" s="1" t="n">
        <v>46189</v>
      </c>
      <c r="D307" t="inlineStr">
        <is>
          <t>VÄSTERBOTTENS LÄN</t>
        </is>
      </c>
      <c r="E307" t="inlineStr">
        <is>
          <t>SORSELE</t>
        </is>
      </c>
      <c r="G307" t="n">
        <v>20.3</v>
      </c>
      <c r="H307" t="n">
        <v>0</v>
      </c>
      <c r="I307" t="n">
        <v>0</v>
      </c>
      <c r="J307" t="n">
        <v>0</v>
      </c>
      <c r="K307" t="n">
        <v>0</v>
      </c>
      <c r="L307" t="n">
        <v>0</v>
      </c>
      <c r="M307" t="n">
        <v>0</v>
      </c>
      <c r="N307" t="n">
        <v>0</v>
      </c>
      <c r="O307" t="n">
        <v>0</v>
      </c>
      <c r="P307" t="n">
        <v>0</v>
      </c>
      <c r="Q307" t="n">
        <v>0</v>
      </c>
      <c r="R307" s="2" t="inlineStr"/>
    </row>
    <row r="308" ht="15" customHeight="1">
      <c r="A308" t="inlineStr">
        <is>
          <t>A 58670-2024</t>
        </is>
      </c>
      <c r="B308" s="1" t="n">
        <v>45634</v>
      </c>
      <c r="C308" s="1" t="n">
        <v>46189</v>
      </c>
      <c r="D308" t="inlineStr">
        <is>
          <t>VÄSTERBOTTENS LÄN</t>
        </is>
      </c>
      <c r="E308" t="inlineStr">
        <is>
          <t>SORSELE</t>
        </is>
      </c>
      <c r="G308" t="n">
        <v>10.3</v>
      </c>
      <c r="H308" t="n">
        <v>0</v>
      </c>
      <c r="I308" t="n">
        <v>0</v>
      </c>
      <c r="J308" t="n">
        <v>0</v>
      </c>
      <c r="K308" t="n">
        <v>0</v>
      </c>
      <c r="L308" t="n">
        <v>0</v>
      </c>
      <c r="M308" t="n">
        <v>0</v>
      </c>
      <c r="N308" t="n">
        <v>0</v>
      </c>
      <c r="O308" t="n">
        <v>0</v>
      </c>
      <c r="P308" t="n">
        <v>0</v>
      </c>
      <c r="Q308" t="n">
        <v>0</v>
      </c>
      <c r="R308" s="2" t="inlineStr"/>
    </row>
    <row r="309" ht="15" customHeight="1">
      <c r="A309" t="inlineStr">
        <is>
          <t>A 11634-2023</t>
        </is>
      </c>
      <c r="B309" s="1" t="n">
        <v>44992</v>
      </c>
      <c r="C309" s="1" t="n">
        <v>46189</v>
      </c>
      <c r="D309" t="inlineStr">
        <is>
          <t>VÄSTERBOTTENS LÄN</t>
        </is>
      </c>
      <c r="E309" t="inlineStr">
        <is>
          <t>SORSELE</t>
        </is>
      </c>
      <c r="G309" t="n">
        <v>12.4</v>
      </c>
      <c r="H309" t="n">
        <v>0</v>
      </c>
      <c r="I309" t="n">
        <v>0</v>
      </c>
      <c r="J309" t="n">
        <v>0</v>
      </c>
      <c r="K309" t="n">
        <v>0</v>
      </c>
      <c r="L309" t="n">
        <v>0</v>
      </c>
      <c r="M309" t="n">
        <v>0</v>
      </c>
      <c r="N309" t="n">
        <v>0</v>
      </c>
      <c r="O309" t="n">
        <v>0</v>
      </c>
      <c r="P309" t="n">
        <v>0</v>
      </c>
      <c r="Q309" t="n">
        <v>0</v>
      </c>
      <c r="R309" s="2" t="inlineStr"/>
    </row>
    <row r="310" ht="15" customHeight="1">
      <c r="A310" t="inlineStr">
        <is>
          <t>A 10133-2024</t>
        </is>
      </c>
      <c r="B310" s="1" t="n">
        <v>45364.59172453704</v>
      </c>
      <c r="C310" s="1" t="n">
        <v>46189</v>
      </c>
      <c r="D310" t="inlineStr">
        <is>
          <t>VÄSTERBOTTENS LÄN</t>
        </is>
      </c>
      <c r="E310" t="inlineStr">
        <is>
          <t>SORSELE</t>
        </is>
      </c>
      <c r="G310" t="n">
        <v>1.4</v>
      </c>
      <c r="H310" t="n">
        <v>0</v>
      </c>
      <c r="I310" t="n">
        <v>0</v>
      </c>
      <c r="J310" t="n">
        <v>0</v>
      </c>
      <c r="K310" t="n">
        <v>0</v>
      </c>
      <c r="L310" t="n">
        <v>0</v>
      </c>
      <c r="M310" t="n">
        <v>0</v>
      </c>
      <c r="N310" t="n">
        <v>0</v>
      </c>
      <c r="O310" t="n">
        <v>0</v>
      </c>
      <c r="P310" t="n">
        <v>0</v>
      </c>
      <c r="Q310" t="n">
        <v>0</v>
      </c>
      <c r="R310" s="2" t="inlineStr"/>
    </row>
    <row r="311" ht="15" customHeight="1">
      <c r="A311" t="inlineStr">
        <is>
          <t>A 15226-2024</t>
        </is>
      </c>
      <c r="B311" s="1" t="n">
        <v>45400</v>
      </c>
      <c r="C311" s="1" t="n">
        <v>46189</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8472-2025</t>
        </is>
      </c>
      <c r="B312" s="1" t="n">
        <v>45709</v>
      </c>
      <c r="C312" s="1" t="n">
        <v>46189</v>
      </c>
      <c r="D312" t="inlineStr">
        <is>
          <t>VÄSTERBOTTENS LÄN</t>
        </is>
      </c>
      <c r="E312" t="inlineStr">
        <is>
          <t>SORSELE</t>
        </is>
      </c>
      <c r="G312" t="n">
        <v>2.4</v>
      </c>
      <c r="H312" t="n">
        <v>0</v>
      </c>
      <c r="I312" t="n">
        <v>0</v>
      </c>
      <c r="J312" t="n">
        <v>0</v>
      </c>
      <c r="K312" t="n">
        <v>0</v>
      </c>
      <c r="L312" t="n">
        <v>0</v>
      </c>
      <c r="M312" t="n">
        <v>0</v>
      </c>
      <c r="N312" t="n">
        <v>0</v>
      </c>
      <c r="O312" t="n">
        <v>0</v>
      </c>
      <c r="P312" t="n">
        <v>0</v>
      </c>
      <c r="Q312" t="n">
        <v>0</v>
      </c>
      <c r="R312" s="2" t="inlineStr"/>
    </row>
    <row r="313" ht="15" customHeight="1">
      <c r="A313" t="inlineStr">
        <is>
          <t>A 59555-2022</t>
        </is>
      </c>
      <c r="B313" s="1" t="n">
        <v>44900</v>
      </c>
      <c r="C313" s="1" t="n">
        <v>46189</v>
      </c>
      <c r="D313" t="inlineStr">
        <is>
          <t>VÄSTERBOTTENS LÄN</t>
        </is>
      </c>
      <c r="E313" t="inlineStr">
        <is>
          <t>SORSELE</t>
        </is>
      </c>
      <c r="G313" t="n">
        <v>3</v>
      </c>
      <c r="H313" t="n">
        <v>0</v>
      </c>
      <c r="I313" t="n">
        <v>0</v>
      </c>
      <c r="J313" t="n">
        <v>0</v>
      </c>
      <c r="K313" t="n">
        <v>0</v>
      </c>
      <c r="L313" t="n">
        <v>0</v>
      </c>
      <c r="M313" t="n">
        <v>0</v>
      </c>
      <c r="N313" t="n">
        <v>0</v>
      </c>
      <c r="O313" t="n">
        <v>0</v>
      </c>
      <c r="P313" t="n">
        <v>0</v>
      </c>
      <c r="Q313" t="n">
        <v>0</v>
      </c>
      <c r="R313" s="2" t="inlineStr"/>
    </row>
    <row r="314" ht="15" customHeight="1">
      <c r="A314" t="inlineStr">
        <is>
          <t>A 51394-2022</t>
        </is>
      </c>
      <c r="B314" s="1" t="n">
        <v>44866</v>
      </c>
      <c r="C314" s="1" t="n">
        <v>46189</v>
      </c>
      <c r="D314" t="inlineStr">
        <is>
          <t>VÄSTERBOTTENS LÄN</t>
        </is>
      </c>
      <c r="E314" t="inlineStr">
        <is>
          <t>SORSELE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23943-2025</t>
        </is>
      </c>
      <c r="B315" s="1" t="n">
        <v>45794</v>
      </c>
      <c r="C315" s="1" t="n">
        <v>46189</v>
      </c>
      <c r="D315" t="inlineStr">
        <is>
          <t>VÄSTERBOTTENS LÄN</t>
        </is>
      </c>
      <c r="E315" t="inlineStr">
        <is>
          <t>SORSELE</t>
        </is>
      </c>
      <c r="G315" t="n">
        <v>11.9</v>
      </c>
      <c r="H315" t="n">
        <v>0</v>
      </c>
      <c r="I315" t="n">
        <v>0</v>
      </c>
      <c r="J315" t="n">
        <v>0</v>
      </c>
      <c r="K315" t="n">
        <v>0</v>
      </c>
      <c r="L315" t="n">
        <v>0</v>
      </c>
      <c r="M315" t="n">
        <v>0</v>
      </c>
      <c r="N315" t="n">
        <v>0</v>
      </c>
      <c r="O315" t="n">
        <v>0</v>
      </c>
      <c r="P315" t="n">
        <v>0</v>
      </c>
      <c r="Q315" t="n">
        <v>0</v>
      </c>
      <c r="R315" s="2" t="inlineStr"/>
    </row>
    <row r="316" ht="15" customHeight="1">
      <c r="A316" t="inlineStr">
        <is>
          <t>A 23935-2025</t>
        </is>
      </c>
      <c r="B316" s="1" t="n">
        <v>45795.8047337963</v>
      </c>
      <c r="C316" s="1" t="n">
        <v>46189</v>
      </c>
      <c r="D316" t="inlineStr">
        <is>
          <t>VÄSTERBOTTENS LÄN</t>
        </is>
      </c>
      <c r="E316" t="inlineStr">
        <is>
          <t>SORSELE</t>
        </is>
      </c>
      <c r="G316" t="n">
        <v>6.5</v>
      </c>
      <c r="H316" t="n">
        <v>0</v>
      </c>
      <c r="I316" t="n">
        <v>0</v>
      </c>
      <c r="J316" t="n">
        <v>0</v>
      </c>
      <c r="K316" t="n">
        <v>0</v>
      </c>
      <c r="L316" t="n">
        <v>0</v>
      </c>
      <c r="M316" t="n">
        <v>0</v>
      </c>
      <c r="N316" t="n">
        <v>0</v>
      </c>
      <c r="O316" t="n">
        <v>0</v>
      </c>
      <c r="P316" t="n">
        <v>0</v>
      </c>
      <c r="Q316" t="n">
        <v>0</v>
      </c>
      <c r="R316" s="2" t="inlineStr"/>
    </row>
    <row r="317" ht="15" customHeight="1">
      <c r="A317" t="inlineStr">
        <is>
          <t>A 23952-2025</t>
        </is>
      </c>
      <c r="B317" s="1" t="n">
        <v>45794</v>
      </c>
      <c r="C317" s="1" t="n">
        <v>46189</v>
      </c>
      <c r="D317" t="inlineStr">
        <is>
          <t>VÄSTERBOTTENS LÄN</t>
        </is>
      </c>
      <c r="E317" t="inlineStr">
        <is>
          <t>SORSELE</t>
        </is>
      </c>
      <c r="G317" t="n">
        <v>20.7</v>
      </c>
      <c r="H317" t="n">
        <v>0</v>
      </c>
      <c r="I317" t="n">
        <v>0</v>
      </c>
      <c r="J317" t="n">
        <v>0</v>
      </c>
      <c r="K317" t="n">
        <v>0</v>
      </c>
      <c r="L317" t="n">
        <v>0</v>
      </c>
      <c r="M317" t="n">
        <v>0</v>
      </c>
      <c r="N317" t="n">
        <v>0</v>
      </c>
      <c r="O317" t="n">
        <v>0</v>
      </c>
      <c r="P317" t="n">
        <v>0</v>
      </c>
      <c r="Q317" t="n">
        <v>0</v>
      </c>
      <c r="R317" s="2" t="inlineStr"/>
    </row>
    <row r="318" ht="15" customHeight="1">
      <c r="A318" t="inlineStr">
        <is>
          <t>A 23929-2025</t>
        </is>
      </c>
      <c r="B318" s="1" t="n">
        <v>45795.49415509259</v>
      </c>
      <c r="C318" s="1" t="n">
        <v>46189</v>
      </c>
      <c r="D318" t="inlineStr">
        <is>
          <t>VÄSTERBOTTENS LÄN</t>
        </is>
      </c>
      <c r="E318" t="inlineStr">
        <is>
          <t>SORSELE</t>
        </is>
      </c>
      <c r="G318" t="n">
        <v>6.6</v>
      </c>
      <c r="H318" t="n">
        <v>0</v>
      </c>
      <c r="I318" t="n">
        <v>0</v>
      </c>
      <c r="J318" t="n">
        <v>0</v>
      </c>
      <c r="K318" t="n">
        <v>0</v>
      </c>
      <c r="L318" t="n">
        <v>0</v>
      </c>
      <c r="M318" t="n">
        <v>0</v>
      </c>
      <c r="N318" t="n">
        <v>0</v>
      </c>
      <c r="O318" t="n">
        <v>0</v>
      </c>
      <c r="P318" t="n">
        <v>0</v>
      </c>
      <c r="Q318" t="n">
        <v>0</v>
      </c>
      <c r="R318" s="2" t="inlineStr"/>
    </row>
    <row r="319" ht="15" customHeight="1">
      <c r="A319" t="inlineStr">
        <is>
          <t>A 25761-2026</t>
        </is>
      </c>
      <c r="B319" s="1" t="n">
        <v>46178.4484375</v>
      </c>
      <c r="C319" s="1" t="n">
        <v>46189</v>
      </c>
      <c r="D319" t="inlineStr">
        <is>
          <t>VÄSTERBOTTENS LÄN</t>
        </is>
      </c>
      <c r="E319" t="inlineStr">
        <is>
          <t>SORSELE</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19769-2026</t>
        </is>
      </c>
      <c r="B320" s="1" t="n">
        <v>46135.43068287037</v>
      </c>
      <c r="C320" s="1" t="n">
        <v>46189</v>
      </c>
      <c r="D320" t="inlineStr">
        <is>
          <t>VÄSTERBOTTENS LÄN</t>
        </is>
      </c>
      <c r="E320" t="inlineStr">
        <is>
          <t>SORSELE</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25741-2026</t>
        </is>
      </c>
      <c r="B321" s="1" t="n">
        <v>46178.42771990741</v>
      </c>
      <c r="C321" s="1" t="n">
        <v>46189</v>
      </c>
      <c r="D321" t="inlineStr">
        <is>
          <t>VÄSTERBOTTENS LÄN</t>
        </is>
      </c>
      <c r="E321" t="inlineStr">
        <is>
          <t>SORSELE</t>
        </is>
      </c>
      <c r="F321" t="inlineStr">
        <is>
          <t>SCA</t>
        </is>
      </c>
      <c r="G321" t="n">
        <v>10.2</v>
      </c>
      <c r="H321" t="n">
        <v>0</v>
      </c>
      <c r="I321" t="n">
        <v>0</v>
      </c>
      <c r="J321" t="n">
        <v>0</v>
      </c>
      <c r="K321" t="n">
        <v>0</v>
      </c>
      <c r="L321" t="n">
        <v>0</v>
      </c>
      <c r="M321" t="n">
        <v>0</v>
      </c>
      <c r="N321" t="n">
        <v>0</v>
      </c>
      <c r="O321" t="n">
        <v>0</v>
      </c>
      <c r="P321" t="n">
        <v>0</v>
      </c>
      <c r="Q321" t="n">
        <v>0</v>
      </c>
      <c r="R321" s="2" t="inlineStr"/>
    </row>
    <row r="322" ht="15" customHeight="1">
      <c r="A322" t="inlineStr">
        <is>
          <t>A 25745-2026</t>
        </is>
      </c>
      <c r="B322" s="1" t="n">
        <v>46178.42855324074</v>
      </c>
      <c r="C322" s="1" t="n">
        <v>46189</v>
      </c>
      <c r="D322" t="inlineStr">
        <is>
          <t>VÄSTERBOTTENS LÄN</t>
        </is>
      </c>
      <c r="E322" t="inlineStr">
        <is>
          <t>SORSELE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25824-2026</t>
        </is>
      </c>
      <c r="B323" s="1" t="n">
        <v>46178.53171296296</v>
      </c>
      <c r="C323" s="1" t="n">
        <v>46189</v>
      </c>
      <c r="D323" t="inlineStr">
        <is>
          <t>VÄSTERBOTTENS LÄN</t>
        </is>
      </c>
      <c r="E323" t="inlineStr">
        <is>
          <t>SORSELE</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25744-2026</t>
        </is>
      </c>
      <c r="B324" s="1" t="n">
        <v>46178.42837962963</v>
      </c>
      <c r="C324" s="1" t="n">
        <v>46189</v>
      </c>
      <c r="D324" t="inlineStr">
        <is>
          <t>VÄSTERBOTTENS LÄN</t>
        </is>
      </c>
      <c r="E324" t="inlineStr">
        <is>
          <t>SORSELE</t>
        </is>
      </c>
      <c r="F324" t="inlineStr">
        <is>
          <t>SCA</t>
        </is>
      </c>
      <c r="G324" t="n">
        <v>7</v>
      </c>
      <c r="H324" t="n">
        <v>0</v>
      </c>
      <c r="I324" t="n">
        <v>0</v>
      </c>
      <c r="J324" t="n">
        <v>0</v>
      </c>
      <c r="K324" t="n">
        <v>0</v>
      </c>
      <c r="L324" t="n">
        <v>0</v>
      </c>
      <c r="M324" t="n">
        <v>0</v>
      </c>
      <c r="N324" t="n">
        <v>0</v>
      </c>
      <c r="O324" t="n">
        <v>0</v>
      </c>
      <c r="P324" t="n">
        <v>0</v>
      </c>
      <c r="Q324" t="n">
        <v>0</v>
      </c>
      <c r="R324" s="2" t="inlineStr"/>
    </row>
    <row r="325" ht="15" customHeight="1">
      <c r="A325" t="inlineStr">
        <is>
          <t>A 6228-2025</t>
        </is>
      </c>
      <c r="B325" s="1" t="n">
        <v>45697</v>
      </c>
      <c r="C325" s="1" t="n">
        <v>46189</v>
      </c>
      <c r="D325" t="inlineStr">
        <is>
          <t>VÄSTERBOTTENS LÄN</t>
        </is>
      </c>
      <c r="E325" t="inlineStr">
        <is>
          <t>SORSELE</t>
        </is>
      </c>
      <c r="G325" t="n">
        <v>5.8</v>
      </c>
      <c r="H325" t="n">
        <v>0</v>
      </c>
      <c r="I325" t="n">
        <v>0</v>
      </c>
      <c r="J325" t="n">
        <v>0</v>
      </c>
      <c r="K325" t="n">
        <v>0</v>
      </c>
      <c r="L325" t="n">
        <v>0</v>
      </c>
      <c r="M325" t="n">
        <v>0</v>
      </c>
      <c r="N325" t="n">
        <v>0</v>
      </c>
      <c r="O325" t="n">
        <v>0</v>
      </c>
      <c r="P325" t="n">
        <v>0</v>
      </c>
      <c r="Q325" t="n">
        <v>0</v>
      </c>
      <c r="R325" s="2" t="inlineStr"/>
    </row>
    <row r="326" ht="15" customHeight="1">
      <c r="A326" t="inlineStr">
        <is>
          <t>A 60909-2021</t>
        </is>
      </c>
      <c r="B326" s="1" t="n">
        <v>44496</v>
      </c>
      <c r="C326" s="1" t="n">
        <v>46189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6719-2025</t>
        </is>
      </c>
      <c r="B327" s="1" t="n">
        <v>45700.5778587963</v>
      </c>
      <c r="C327" s="1" t="n">
        <v>46189</v>
      </c>
      <c r="D327" t="inlineStr">
        <is>
          <t>VÄSTERBOTTENS LÄN</t>
        </is>
      </c>
      <c r="E327" t="inlineStr">
        <is>
          <t>SORSELE</t>
        </is>
      </c>
      <c r="G327" t="n">
        <v>9.4</v>
      </c>
      <c r="H327" t="n">
        <v>0</v>
      </c>
      <c r="I327" t="n">
        <v>0</v>
      </c>
      <c r="J327" t="n">
        <v>0</v>
      </c>
      <c r="K327" t="n">
        <v>0</v>
      </c>
      <c r="L327" t="n">
        <v>0</v>
      </c>
      <c r="M327" t="n">
        <v>0</v>
      </c>
      <c r="N327" t="n">
        <v>0</v>
      </c>
      <c r="O327" t="n">
        <v>0</v>
      </c>
      <c r="P327" t="n">
        <v>0</v>
      </c>
      <c r="Q327" t="n">
        <v>0</v>
      </c>
      <c r="R327" s="2" t="inlineStr"/>
    </row>
    <row r="328" ht="15" customHeight="1">
      <c r="A328" t="inlineStr">
        <is>
          <t>A 55817-2022</t>
        </is>
      </c>
      <c r="B328" s="1" t="n">
        <v>44886</v>
      </c>
      <c r="C328" s="1" t="n">
        <v>46189</v>
      </c>
      <c r="D328" t="inlineStr">
        <is>
          <t>VÄSTERBOTTENS LÄN</t>
        </is>
      </c>
      <c r="E328" t="inlineStr">
        <is>
          <t>SORSELE</t>
        </is>
      </c>
      <c r="G328" t="n">
        <v>10</v>
      </c>
      <c r="H328" t="n">
        <v>0</v>
      </c>
      <c r="I328" t="n">
        <v>0</v>
      </c>
      <c r="J328" t="n">
        <v>0</v>
      </c>
      <c r="K328" t="n">
        <v>0</v>
      </c>
      <c r="L328" t="n">
        <v>0</v>
      </c>
      <c r="M328" t="n">
        <v>0</v>
      </c>
      <c r="N328" t="n">
        <v>0</v>
      </c>
      <c r="O328" t="n">
        <v>0</v>
      </c>
      <c r="P328" t="n">
        <v>0</v>
      </c>
      <c r="Q328" t="n">
        <v>0</v>
      </c>
      <c r="R328" s="2" t="inlineStr"/>
    </row>
    <row r="329" ht="15" customHeight="1">
      <c r="A329" t="inlineStr">
        <is>
          <t>A 27744-2025</t>
        </is>
      </c>
      <c r="B329" s="1" t="n">
        <v>45815.60288194445</v>
      </c>
      <c r="C329" s="1" t="n">
        <v>46189</v>
      </c>
      <c r="D329" t="inlineStr">
        <is>
          <t>VÄSTERBOTTENS LÄN</t>
        </is>
      </c>
      <c r="E329" t="inlineStr">
        <is>
          <t>SORSELE</t>
        </is>
      </c>
      <c r="G329" t="n">
        <v>4.5</v>
      </c>
      <c r="H329" t="n">
        <v>0</v>
      </c>
      <c r="I329" t="n">
        <v>0</v>
      </c>
      <c r="J329" t="n">
        <v>0</v>
      </c>
      <c r="K329" t="n">
        <v>0</v>
      </c>
      <c r="L329" t="n">
        <v>0</v>
      </c>
      <c r="M329" t="n">
        <v>0</v>
      </c>
      <c r="N329" t="n">
        <v>0</v>
      </c>
      <c r="O329" t="n">
        <v>0</v>
      </c>
      <c r="P329" t="n">
        <v>0</v>
      </c>
      <c r="Q329" t="n">
        <v>0</v>
      </c>
      <c r="R329" s="2" t="inlineStr"/>
    </row>
    <row r="330" ht="15" customHeight="1">
      <c r="A330" t="inlineStr">
        <is>
          <t>A 27746-2025</t>
        </is>
      </c>
      <c r="B330" s="1" t="n">
        <v>45815.64054398148</v>
      </c>
      <c r="C330" s="1" t="n">
        <v>46189</v>
      </c>
      <c r="D330" t="inlineStr">
        <is>
          <t>VÄSTERBOTTENS LÄN</t>
        </is>
      </c>
      <c r="E330" t="inlineStr">
        <is>
          <t>SORSELE</t>
        </is>
      </c>
      <c r="G330" t="n">
        <v>4.1</v>
      </c>
      <c r="H330" t="n">
        <v>0</v>
      </c>
      <c r="I330" t="n">
        <v>0</v>
      </c>
      <c r="J330" t="n">
        <v>0</v>
      </c>
      <c r="K330" t="n">
        <v>0</v>
      </c>
      <c r="L330" t="n">
        <v>0</v>
      </c>
      <c r="M330" t="n">
        <v>0</v>
      </c>
      <c r="N330" t="n">
        <v>0</v>
      </c>
      <c r="O330" t="n">
        <v>0</v>
      </c>
      <c r="P330" t="n">
        <v>0</v>
      </c>
      <c r="Q330" t="n">
        <v>0</v>
      </c>
      <c r="R330" s="2" t="inlineStr"/>
    </row>
    <row r="331" ht="15" customHeight="1">
      <c r="A331" t="inlineStr">
        <is>
          <t>A 28186-2025</t>
        </is>
      </c>
      <c r="B331" s="1" t="n">
        <v>45818</v>
      </c>
      <c r="C331" s="1" t="n">
        <v>46189</v>
      </c>
      <c r="D331" t="inlineStr">
        <is>
          <t>VÄSTERBOTTENS LÄN</t>
        </is>
      </c>
      <c r="E331" t="inlineStr">
        <is>
          <t>SORSELE</t>
        </is>
      </c>
      <c r="G331" t="n">
        <v>1.5</v>
      </c>
      <c r="H331" t="n">
        <v>0</v>
      </c>
      <c r="I331" t="n">
        <v>0</v>
      </c>
      <c r="J331" t="n">
        <v>0</v>
      </c>
      <c r="K331" t="n">
        <v>0</v>
      </c>
      <c r="L331" t="n">
        <v>0</v>
      </c>
      <c r="M331" t="n">
        <v>0</v>
      </c>
      <c r="N331" t="n">
        <v>0</v>
      </c>
      <c r="O331" t="n">
        <v>0</v>
      </c>
      <c r="P331" t="n">
        <v>0</v>
      </c>
      <c r="Q331" t="n">
        <v>0</v>
      </c>
      <c r="R331" s="2" t="inlineStr"/>
    </row>
    <row r="332" ht="15" customHeight="1">
      <c r="A332" t="inlineStr">
        <is>
          <t>A 17863-2025</t>
        </is>
      </c>
      <c r="B332" s="1" t="n">
        <v>45758.6283912037</v>
      </c>
      <c r="C332" s="1" t="n">
        <v>46189</v>
      </c>
      <c r="D332" t="inlineStr">
        <is>
          <t>VÄSTERBOTTENS LÄN</t>
        </is>
      </c>
      <c r="E332" t="inlineStr">
        <is>
          <t>SORSELE</t>
        </is>
      </c>
      <c r="G332" t="n">
        <v>4</v>
      </c>
      <c r="H332" t="n">
        <v>0</v>
      </c>
      <c r="I332" t="n">
        <v>0</v>
      </c>
      <c r="J332" t="n">
        <v>0</v>
      </c>
      <c r="K332" t="n">
        <v>0</v>
      </c>
      <c r="L332" t="n">
        <v>0</v>
      </c>
      <c r="M332" t="n">
        <v>0</v>
      </c>
      <c r="N332" t="n">
        <v>0</v>
      </c>
      <c r="O332" t="n">
        <v>0</v>
      </c>
      <c r="P332" t="n">
        <v>0</v>
      </c>
      <c r="Q332" t="n">
        <v>0</v>
      </c>
      <c r="R332" s="2" t="inlineStr"/>
    </row>
    <row r="333" ht="15" customHeight="1">
      <c r="A333" t="inlineStr">
        <is>
          <t>A 30520-2025</t>
        </is>
      </c>
      <c r="B333" s="1" t="n">
        <v>45831.34668981482</v>
      </c>
      <c r="C333" s="1" t="n">
        <v>46189</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30558-2025</t>
        </is>
      </c>
      <c r="B334" s="1" t="n">
        <v>45831.39336805556</v>
      </c>
      <c r="C334" s="1" t="n">
        <v>46189</v>
      </c>
      <c r="D334" t="inlineStr">
        <is>
          <t>VÄSTERBOTTENS LÄN</t>
        </is>
      </c>
      <c r="E334" t="inlineStr">
        <is>
          <t>SORSELE</t>
        </is>
      </c>
      <c r="G334" t="n">
        <v>8.1</v>
      </c>
      <c r="H334" t="n">
        <v>0</v>
      </c>
      <c r="I334" t="n">
        <v>0</v>
      </c>
      <c r="J334" t="n">
        <v>0</v>
      </c>
      <c r="K334" t="n">
        <v>0</v>
      </c>
      <c r="L334" t="n">
        <v>0</v>
      </c>
      <c r="M334" t="n">
        <v>0</v>
      </c>
      <c r="N334" t="n">
        <v>0</v>
      </c>
      <c r="O334" t="n">
        <v>0</v>
      </c>
      <c r="P334" t="n">
        <v>0</v>
      </c>
      <c r="Q334" t="n">
        <v>0</v>
      </c>
      <c r="R334" s="2" t="inlineStr"/>
    </row>
    <row r="335" ht="15" customHeight="1">
      <c r="A335" t="inlineStr">
        <is>
          <t>A 17326-2024</t>
        </is>
      </c>
      <c r="B335" s="1" t="n">
        <v>45414</v>
      </c>
      <c r="C335" s="1" t="n">
        <v>46189</v>
      </c>
      <c r="D335" t="inlineStr">
        <is>
          <t>VÄSTERBOTTENS LÄN</t>
        </is>
      </c>
      <c r="E335" t="inlineStr">
        <is>
          <t>SORSELE</t>
        </is>
      </c>
      <c r="G335" t="n">
        <v>18.2</v>
      </c>
      <c r="H335" t="n">
        <v>0</v>
      </c>
      <c r="I335" t="n">
        <v>0</v>
      </c>
      <c r="J335" t="n">
        <v>0</v>
      </c>
      <c r="K335" t="n">
        <v>0</v>
      </c>
      <c r="L335" t="n">
        <v>0</v>
      </c>
      <c r="M335" t="n">
        <v>0</v>
      </c>
      <c r="N335" t="n">
        <v>0</v>
      </c>
      <c r="O335" t="n">
        <v>0</v>
      </c>
      <c r="P335" t="n">
        <v>0</v>
      </c>
      <c r="Q335" t="n">
        <v>0</v>
      </c>
      <c r="R335" s="2" t="inlineStr"/>
    </row>
    <row r="336" ht="15" customHeight="1">
      <c r="A336" t="inlineStr">
        <is>
          <t>A 17379-2024</t>
        </is>
      </c>
      <c r="B336" s="1" t="n">
        <v>45414</v>
      </c>
      <c r="C336" s="1" t="n">
        <v>46189</v>
      </c>
      <c r="D336" t="inlineStr">
        <is>
          <t>VÄSTERBOTTENS LÄN</t>
        </is>
      </c>
      <c r="E336" t="inlineStr">
        <is>
          <t>SORSELE</t>
        </is>
      </c>
      <c r="G336" t="n">
        <v>48.8</v>
      </c>
      <c r="H336" t="n">
        <v>0</v>
      </c>
      <c r="I336" t="n">
        <v>0</v>
      </c>
      <c r="J336" t="n">
        <v>0</v>
      </c>
      <c r="K336" t="n">
        <v>0</v>
      </c>
      <c r="L336" t="n">
        <v>0</v>
      </c>
      <c r="M336" t="n">
        <v>0</v>
      </c>
      <c r="N336" t="n">
        <v>0</v>
      </c>
      <c r="O336" t="n">
        <v>0</v>
      </c>
      <c r="P336" t="n">
        <v>0</v>
      </c>
      <c r="Q336" t="n">
        <v>0</v>
      </c>
      <c r="R336" s="2" t="inlineStr"/>
    </row>
    <row r="337" ht="15" customHeight="1">
      <c r="A337" t="inlineStr">
        <is>
          <t>A 17869-2025</t>
        </is>
      </c>
      <c r="B337" s="1" t="n">
        <v>45758.63265046296</v>
      </c>
      <c r="C337" s="1" t="n">
        <v>46189</v>
      </c>
      <c r="D337" t="inlineStr">
        <is>
          <t>VÄSTERBOTTENS LÄN</t>
        </is>
      </c>
      <c r="E337" t="inlineStr">
        <is>
          <t>SORSELE</t>
        </is>
      </c>
      <c r="G337" t="n">
        <v>13.5</v>
      </c>
      <c r="H337" t="n">
        <v>0</v>
      </c>
      <c r="I337" t="n">
        <v>0</v>
      </c>
      <c r="J337" t="n">
        <v>0</v>
      </c>
      <c r="K337" t="n">
        <v>0</v>
      </c>
      <c r="L337" t="n">
        <v>0</v>
      </c>
      <c r="M337" t="n">
        <v>0</v>
      </c>
      <c r="N337" t="n">
        <v>0</v>
      </c>
      <c r="O337" t="n">
        <v>0</v>
      </c>
      <c r="P337" t="n">
        <v>0</v>
      </c>
      <c r="Q337" t="n">
        <v>0</v>
      </c>
      <c r="R337" s="2" t="inlineStr"/>
    </row>
    <row r="338" ht="15" customHeight="1">
      <c r="A338" t="inlineStr">
        <is>
          <t>A 17384-2024</t>
        </is>
      </c>
      <c r="B338" s="1" t="n">
        <v>45414</v>
      </c>
      <c r="C338" s="1" t="n">
        <v>46189</v>
      </c>
      <c r="D338" t="inlineStr">
        <is>
          <t>VÄSTERBOTTENS LÄN</t>
        </is>
      </c>
      <c r="E338" t="inlineStr">
        <is>
          <t>SORSELE</t>
        </is>
      </c>
      <c r="G338" t="n">
        <v>4.3</v>
      </c>
      <c r="H338" t="n">
        <v>0</v>
      </c>
      <c r="I338" t="n">
        <v>0</v>
      </c>
      <c r="J338" t="n">
        <v>0</v>
      </c>
      <c r="K338" t="n">
        <v>0</v>
      </c>
      <c r="L338" t="n">
        <v>0</v>
      </c>
      <c r="M338" t="n">
        <v>0</v>
      </c>
      <c r="N338" t="n">
        <v>0</v>
      </c>
      <c r="O338" t="n">
        <v>0</v>
      </c>
      <c r="P338" t="n">
        <v>0</v>
      </c>
      <c r="Q338" t="n">
        <v>0</v>
      </c>
      <c r="R338" s="2" t="inlineStr"/>
    </row>
    <row r="339" ht="15" customHeight="1">
      <c r="A339" t="inlineStr">
        <is>
          <t>A 17365-2024</t>
        </is>
      </c>
      <c r="B339" s="1" t="n">
        <v>45414</v>
      </c>
      <c r="C339" s="1" t="n">
        <v>46189</v>
      </c>
      <c r="D339" t="inlineStr">
        <is>
          <t>VÄSTERBOTTENS LÄN</t>
        </is>
      </c>
      <c r="E339" t="inlineStr">
        <is>
          <t>SORSELE</t>
        </is>
      </c>
      <c r="G339" t="n">
        <v>61</v>
      </c>
      <c r="H339" t="n">
        <v>0</v>
      </c>
      <c r="I339" t="n">
        <v>0</v>
      </c>
      <c r="J339" t="n">
        <v>0</v>
      </c>
      <c r="K339" t="n">
        <v>0</v>
      </c>
      <c r="L339" t="n">
        <v>0</v>
      </c>
      <c r="M339" t="n">
        <v>0</v>
      </c>
      <c r="N339" t="n">
        <v>0</v>
      </c>
      <c r="O339" t="n">
        <v>0</v>
      </c>
      <c r="P339" t="n">
        <v>0</v>
      </c>
      <c r="Q339" t="n">
        <v>0</v>
      </c>
      <c r="R339" s="2" t="inlineStr"/>
    </row>
    <row r="340" ht="15" customHeight="1">
      <c r="A340" t="inlineStr">
        <is>
          <t>A 51361-2022</t>
        </is>
      </c>
      <c r="B340" s="1" t="n">
        <v>44866</v>
      </c>
      <c r="C340" s="1" t="n">
        <v>46189</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10753-2025</t>
        </is>
      </c>
      <c r="B341" s="1" t="n">
        <v>45722.44828703703</v>
      </c>
      <c r="C341" s="1" t="n">
        <v>46189</v>
      </c>
      <c r="D341" t="inlineStr">
        <is>
          <t>VÄSTERBOTTENS LÄN</t>
        </is>
      </c>
      <c r="E341" t="inlineStr">
        <is>
          <t>SORSELE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34888-2025</t>
        </is>
      </c>
      <c r="B342" s="1" t="n">
        <v>45849.47910879629</v>
      </c>
      <c r="C342" s="1" t="n">
        <v>46189</v>
      </c>
      <c r="D342" t="inlineStr">
        <is>
          <t>VÄSTERBOTTENS LÄN</t>
        </is>
      </c>
      <c r="E342" t="inlineStr">
        <is>
          <t>SORSELE</t>
        </is>
      </c>
      <c r="G342" t="n">
        <v>11.7</v>
      </c>
      <c r="H342" t="n">
        <v>0</v>
      </c>
      <c r="I342" t="n">
        <v>0</v>
      </c>
      <c r="J342" t="n">
        <v>0</v>
      </c>
      <c r="K342" t="n">
        <v>0</v>
      </c>
      <c r="L342" t="n">
        <v>0</v>
      </c>
      <c r="M342" t="n">
        <v>0</v>
      </c>
      <c r="N342" t="n">
        <v>0</v>
      </c>
      <c r="O342" t="n">
        <v>0</v>
      </c>
      <c r="P342" t="n">
        <v>0</v>
      </c>
      <c r="Q342" t="n">
        <v>0</v>
      </c>
      <c r="R342" s="2" t="inlineStr"/>
    </row>
    <row r="343" ht="15" customHeight="1">
      <c r="A343" t="inlineStr">
        <is>
          <t>A 35730-2025</t>
        </is>
      </c>
      <c r="B343" s="1" t="n">
        <v>45860.46853009259</v>
      </c>
      <c r="C343" s="1" t="n">
        <v>46189</v>
      </c>
      <c r="D343" t="inlineStr">
        <is>
          <t>VÄSTERBOTTENS LÄN</t>
        </is>
      </c>
      <c r="E343" t="inlineStr">
        <is>
          <t>SORSELE</t>
        </is>
      </c>
      <c r="F343" t="inlineStr">
        <is>
          <t>Sveaskog</t>
        </is>
      </c>
      <c r="G343" t="n">
        <v>10.7</v>
      </c>
      <c r="H343" t="n">
        <v>0</v>
      </c>
      <c r="I343" t="n">
        <v>0</v>
      </c>
      <c r="J343" t="n">
        <v>0</v>
      </c>
      <c r="K343" t="n">
        <v>0</v>
      </c>
      <c r="L343" t="n">
        <v>0</v>
      </c>
      <c r="M343" t="n">
        <v>0</v>
      </c>
      <c r="N343" t="n">
        <v>0</v>
      </c>
      <c r="O343" t="n">
        <v>0</v>
      </c>
      <c r="P343" t="n">
        <v>0</v>
      </c>
      <c r="Q343" t="n">
        <v>0</v>
      </c>
      <c r="R343" s="2" t="inlineStr"/>
    </row>
    <row r="344" ht="15" customHeight="1">
      <c r="A344" t="inlineStr">
        <is>
          <t>A 35701-2025</t>
        </is>
      </c>
      <c r="B344" s="1" t="n">
        <v>45860.35930555555</v>
      </c>
      <c r="C344" s="1" t="n">
        <v>46189</v>
      </c>
      <c r="D344" t="inlineStr">
        <is>
          <t>VÄSTERBOTTENS LÄN</t>
        </is>
      </c>
      <c r="E344" t="inlineStr">
        <is>
          <t>SORSELE</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35709-2025</t>
        </is>
      </c>
      <c r="B345" s="1" t="n">
        <v>45860.37709490741</v>
      </c>
      <c r="C345" s="1" t="n">
        <v>46189</v>
      </c>
      <c r="D345" t="inlineStr">
        <is>
          <t>VÄSTERBOTTENS LÄN</t>
        </is>
      </c>
      <c r="E345" t="inlineStr">
        <is>
          <t>SORSELE</t>
        </is>
      </c>
      <c r="F345" t="inlineStr">
        <is>
          <t>Sveaskog</t>
        </is>
      </c>
      <c r="G345" t="n">
        <v>7.2</v>
      </c>
      <c r="H345" t="n">
        <v>0</v>
      </c>
      <c r="I345" t="n">
        <v>0</v>
      </c>
      <c r="J345" t="n">
        <v>0</v>
      </c>
      <c r="K345" t="n">
        <v>0</v>
      </c>
      <c r="L345" t="n">
        <v>0</v>
      </c>
      <c r="M345" t="n">
        <v>0</v>
      </c>
      <c r="N345" t="n">
        <v>0</v>
      </c>
      <c r="O345" t="n">
        <v>0</v>
      </c>
      <c r="P345" t="n">
        <v>0</v>
      </c>
      <c r="Q345" t="n">
        <v>0</v>
      </c>
      <c r="R345" s="2" t="inlineStr"/>
    </row>
    <row r="346" ht="15" customHeight="1">
      <c r="A346" t="inlineStr">
        <is>
          <t>A 35697-2025</t>
        </is>
      </c>
      <c r="B346" s="1" t="n">
        <v>45860.3481712963</v>
      </c>
      <c r="C346" s="1" t="n">
        <v>46189</v>
      </c>
      <c r="D346" t="inlineStr">
        <is>
          <t>VÄSTERBOTTENS LÄN</t>
        </is>
      </c>
      <c r="E346" t="inlineStr">
        <is>
          <t>SORSELE</t>
        </is>
      </c>
      <c r="F346" t="inlineStr">
        <is>
          <t>Sveaskog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29492-2025</t>
        </is>
      </c>
      <c r="B347" s="1" t="n">
        <v>45824.78887731482</v>
      </c>
      <c r="C347" s="1" t="n">
        <v>46189</v>
      </c>
      <c r="D347" t="inlineStr">
        <is>
          <t>VÄSTERBOTTENS LÄN</t>
        </is>
      </c>
      <c r="E347" t="inlineStr">
        <is>
          <t>SORSELE</t>
        </is>
      </c>
      <c r="G347" t="n">
        <v>9.6</v>
      </c>
      <c r="H347" t="n">
        <v>0</v>
      </c>
      <c r="I347" t="n">
        <v>0</v>
      </c>
      <c r="J347" t="n">
        <v>0</v>
      </c>
      <c r="K347" t="n">
        <v>0</v>
      </c>
      <c r="L347" t="n">
        <v>0</v>
      </c>
      <c r="M347" t="n">
        <v>0</v>
      </c>
      <c r="N347" t="n">
        <v>0</v>
      </c>
      <c r="O347" t="n">
        <v>0</v>
      </c>
      <c r="P347" t="n">
        <v>0</v>
      </c>
      <c r="Q347" t="n">
        <v>0</v>
      </c>
      <c r="R347" s="2" t="inlineStr"/>
    </row>
    <row r="348" ht="15" customHeight="1">
      <c r="A348" t="inlineStr">
        <is>
          <t>A 26973-2026</t>
        </is>
      </c>
      <c r="B348" s="1" t="n">
        <v>46185.58407407408</v>
      </c>
      <c r="C348" s="1" t="n">
        <v>46189</v>
      </c>
      <c r="D348" t="inlineStr">
        <is>
          <t>VÄSTERBOTTENS LÄN</t>
        </is>
      </c>
      <c r="E348" t="inlineStr">
        <is>
          <t>SORSELE</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26976-2026</t>
        </is>
      </c>
      <c r="B349" s="1" t="n">
        <v>46185.59002314815</v>
      </c>
      <c r="C349" s="1" t="n">
        <v>46189</v>
      </c>
      <c r="D349" t="inlineStr">
        <is>
          <t>VÄSTERBOTTENS LÄN</t>
        </is>
      </c>
      <c r="E349" t="inlineStr">
        <is>
          <t>SORSELE</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26990-2026</t>
        </is>
      </c>
      <c r="B350" s="1" t="n">
        <v>46185.60928240741</v>
      </c>
      <c r="C350" s="1" t="n">
        <v>46189</v>
      </c>
      <c r="D350" t="inlineStr">
        <is>
          <t>VÄSTERBOTTENS LÄN</t>
        </is>
      </c>
      <c r="E350" t="inlineStr">
        <is>
          <t>SORSELE</t>
        </is>
      </c>
      <c r="F350" t="inlineStr">
        <is>
          <t>Sveaskog</t>
        </is>
      </c>
      <c r="G350" t="n">
        <v>8.1</v>
      </c>
      <c r="H350" t="n">
        <v>0</v>
      </c>
      <c r="I350" t="n">
        <v>0</v>
      </c>
      <c r="J350" t="n">
        <v>0</v>
      </c>
      <c r="K350" t="n">
        <v>0</v>
      </c>
      <c r="L350" t="n">
        <v>0</v>
      </c>
      <c r="M350" t="n">
        <v>0</v>
      </c>
      <c r="N350" t="n">
        <v>0</v>
      </c>
      <c r="O350" t="n">
        <v>0</v>
      </c>
      <c r="P350" t="n">
        <v>0</v>
      </c>
      <c r="Q350" t="n">
        <v>0</v>
      </c>
      <c r="R350" s="2" t="inlineStr"/>
    </row>
    <row r="351" ht="15" customHeight="1">
      <c r="A351" t="inlineStr">
        <is>
          <t>A 37037-2025</t>
        </is>
      </c>
      <c r="B351" s="1" t="n">
        <v>45875.30196759259</v>
      </c>
      <c r="C351" s="1" t="n">
        <v>46189</v>
      </c>
      <c r="D351" t="inlineStr">
        <is>
          <t>VÄSTERBOTTENS LÄN</t>
        </is>
      </c>
      <c r="E351" t="inlineStr">
        <is>
          <t>SORSELE</t>
        </is>
      </c>
      <c r="G351" t="n">
        <v>17.9</v>
      </c>
      <c r="H351" t="n">
        <v>0</v>
      </c>
      <c r="I351" t="n">
        <v>0</v>
      </c>
      <c r="J351" t="n">
        <v>0</v>
      </c>
      <c r="K351" t="n">
        <v>0</v>
      </c>
      <c r="L351" t="n">
        <v>0</v>
      </c>
      <c r="M351" t="n">
        <v>0</v>
      </c>
      <c r="N351" t="n">
        <v>0</v>
      </c>
      <c r="O351" t="n">
        <v>0</v>
      </c>
      <c r="P351" t="n">
        <v>0</v>
      </c>
      <c r="Q351" t="n">
        <v>0</v>
      </c>
      <c r="R351" s="2" t="inlineStr"/>
    </row>
    <row r="352" ht="15" customHeight="1">
      <c r="A352" t="inlineStr">
        <is>
          <t>A 26954-2026</t>
        </is>
      </c>
      <c r="B352" s="1" t="n">
        <v>46185.56504629629</v>
      </c>
      <c r="C352" s="1" t="n">
        <v>46189</v>
      </c>
      <c r="D352" t="inlineStr">
        <is>
          <t>VÄSTERBOTTENS LÄN</t>
        </is>
      </c>
      <c r="E352" t="inlineStr">
        <is>
          <t>SORSELE</t>
        </is>
      </c>
      <c r="F352" t="inlineStr">
        <is>
          <t>Sveaskog</t>
        </is>
      </c>
      <c r="G352" t="n">
        <v>9</v>
      </c>
      <c r="H352" t="n">
        <v>0</v>
      </c>
      <c r="I352" t="n">
        <v>0</v>
      </c>
      <c r="J352" t="n">
        <v>0</v>
      </c>
      <c r="K352" t="n">
        <v>0</v>
      </c>
      <c r="L352" t="n">
        <v>0</v>
      </c>
      <c r="M352" t="n">
        <v>0</v>
      </c>
      <c r="N352" t="n">
        <v>0</v>
      </c>
      <c r="O352" t="n">
        <v>0</v>
      </c>
      <c r="P352" t="n">
        <v>0</v>
      </c>
      <c r="Q352" t="n">
        <v>0</v>
      </c>
      <c r="R352" s="2" t="inlineStr"/>
    </row>
    <row r="353" ht="15" customHeight="1">
      <c r="A353" t="inlineStr">
        <is>
          <t>A 26958-2026</t>
        </is>
      </c>
      <c r="B353" s="1" t="n">
        <v>46185.57071759259</v>
      </c>
      <c r="C353" s="1" t="n">
        <v>46189</v>
      </c>
      <c r="D353" t="inlineStr">
        <is>
          <t>VÄSTERBOTTENS LÄN</t>
        </is>
      </c>
      <c r="E353" t="inlineStr">
        <is>
          <t>SORSELE</t>
        </is>
      </c>
      <c r="F353" t="inlineStr">
        <is>
          <t>Sveaskog</t>
        </is>
      </c>
      <c r="G353" t="n">
        <v>6.2</v>
      </c>
      <c r="H353" t="n">
        <v>0</v>
      </c>
      <c r="I353" t="n">
        <v>0</v>
      </c>
      <c r="J353" t="n">
        <v>0</v>
      </c>
      <c r="K353" t="n">
        <v>0</v>
      </c>
      <c r="L353" t="n">
        <v>0</v>
      </c>
      <c r="M353" t="n">
        <v>0</v>
      </c>
      <c r="N353" t="n">
        <v>0</v>
      </c>
      <c r="O353" t="n">
        <v>0</v>
      </c>
      <c r="P353" t="n">
        <v>0</v>
      </c>
      <c r="Q353" t="n">
        <v>0</v>
      </c>
      <c r="R353" s="2" t="inlineStr"/>
    </row>
    <row r="354" ht="15" customHeight="1">
      <c r="A354" t="inlineStr">
        <is>
          <t>A 26979-2026</t>
        </is>
      </c>
      <c r="B354" s="1" t="n">
        <v>46185.59444444445</v>
      </c>
      <c r="C354" s="1" t="n">
        <v>46189</v>
      </c>
      <c r="D354" t="inlineStr">
        <is>
          <t>VÄSTERBOTTENS LÄN</t>
        </is>
      </c>
      <c r="E354" t="inlineStr">
        <is>
          <t>SORSELE</t>
        </is>
      </c>
      <c r="F354" t="inlineStr">
        <is>
          <t>Sveaskog</t>
        </is>
      </c>
      <c r="G354" t="n">
        <v>10.8</v>
      </c>
      <c r="H354" t="n">
        <v>0</v>
      </c>
      <c r="I354" t="n">
        <v>0</v>
      </c>
      <c r="J354" t="n">
        <v>0</v>
      </c>
      <c r="K354" t="n">
        <v>0</v>
      </c>
      <c r="L354" t="n">
        <v>0</v>
      </c>
      <c r="M354" t="n">
        <v>0</v>
      </c>
      <c r="N354" t="n">
        <v>0</v>
      </c>
      <c r="O354" t="n">
        <v>0</v>
      </c>
      <c r="P354" t="n">
        <v>0</v>
      </c>
      <c r="Q354" t="n">
        <v>0</v>
      </c>
      <c r="R354" s="2" t="inlineStr"/>
    </row>
    <row r="355" ht="15" customHeight="1">
      <c r="A355" t="inlineStr">
        <is>
          <t>A 26985-2026</t>
        </is>
      </c>
      <c r="B355" s="1" t="n">
        <v>46185.60229166667</v>
      </c>
      <c r="C355" s="1" t="n">
        <v>46189</v>
      </c>
      <c r="D355" t="inlineStr">
        <is>
          <t>VÄSTERBOTTENS LÄN</t>
        </is>
      </c>
      <c r="E355" t="inlineStr">
        <is>
          <t>SORSELE</t>
        </is>
      </c>
      <c r="F355" t="inlineStr">
        <is>
          <t>Sveaskog</t>
        </is>
      </c>
      <c r="G355" t="n">
        <v>42.5</v>
      </c>
      <c r="H355" t="n">
        <v>0</v>
      </c>
      <c r="I355" t="n">
        <v>0</v>
      </c>
      <c r="J355" t="n">
        <v>0</v>
      </c>
      <c r="K355" t="n">
        <v>0</v>
      </c>
      <c r="L355" t="n">
        <v>0</v>
      </c>
      <c r="M355" t="n">
        <v>0</v>
      </c>
      <c r="N355" t="n">
        <v>0</v>
      </c>
      <c r="O355" t="n">
        <v>0</v>
      </c>
      <c r="P355" t="n">
        <v>0</v>
      </c>
      <c r="Q355" t="n">
        <v>0</v>
      </c>
      <c r="R355" s="2" t="inlineStr"/>
    </row>
    <row r="356" ht="15" customHeight="1">
      <c r="A356" t="inlineStr">
        <is>
          <t>A 26970-2026</t>
        </is>
      </c>
      <c r="B356" s="1" t="n">
        <v>46185.5822800926</v>
      </c>
      <c r="C356" s="1" t="n">
        <v>46189</v>
      </c>
      <c r="D356" t="inlineStr">
        <is>
          <t>VÄSTERBOTTENS LÄN</t>
        </is>
      </c>
      <c r="E356" t="inlineStr">
        <is>
          <t>SORSELE</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26974-2026</t>
        </is>
      </c>
      <c r="B357" s="1" t="n">
        <v>46185.58565972222</v>
      </c>
      <c r="C357" s="1" t="n">
        <v>46189</v>
      </c>
      <c r="D357" t="inlineStr">
        <is>
          <t>VÄSTERBOTTENS LÄN</t>
        </is>
      </c>
      <c r="E357" t="inlineStr">
        <is>
          <t>SORSELE</t>
        </is>
      </c>
      <c r="F357" t="inlineStr">
        <is>
          <t>Sveaskog</t>
        </is>
      </c>
      <c r="G357" t="n">
        <v>20.1</v>
      </c>
      <c r="H357" t="n">
        <v>0</v>
      </c>
      <c r="I357" t="n">
        <v>0</v>
      </c>
      <c r="J357" t="n">
        <v>0</v>
      </c>
      <c r="K357" t="n">
        <v>0</v>
      </c>
      <c r="L357" t="n">
        <v>0</v>
      </c>
      <c r="M357" t="n">
        <v>0</v>
      </c>
      <c r="N357" t="n">
        <v>0</v>
      </c>
      <c r="O357" t="n">
        <v>0</v>
      </c>
      <c r="P357" t="n">
        <v>0</v>
      </c>
      <c r="Q357" t="n">
        <v>0</v>
      </c>
      <c r="R357" s="2" t="inlineStr"/>
    </row>
    <row r="358" ht="15" customHeight="1">
      <c r="A358" t="inlineStr">
        <is>
          <t>A 26989-2026</t>
        </is>
      </c>
      <c r="B358" s="1" t="n">
        <v>46185.60722222222</v>
      </c>
      <c r="C358" s="1" t="n">
        <v>46189</v>
      </c>
      <c r="D358" t="inlineStr">
        <is>
          <t>VÄSTERBOTTENS LÄN</t>
        </is>
      </c>
      <c r="E358" t="inlineStr">
        <is>
          <t>SORSELE</t>
        </is>
      </c>
      <c r="F358" t="inlineStr">
        <is>
          <t>Sveaskog</t>
        </is>
      </c>
      <c r="G358" t="n">
        <v>7.4</v>
      </c>
      <c r="H358" t="n">
        <v>0</v>
      </c>
      <c r="I358" t="n">
        <v>0</v>
      </c>
      <c r="J358" t="n">
        <v>0</v>
      </c>
      <c r="K358" t="n">
        <v>0</v>
      </c>
      <c r="L358" t="n">
        <v>0</v>
      </c>
      <c r="M358" t="n">
        <v>0</v>
      </c>
      <c r="N358" t="n">
        <v>0</v>
      </c>
      <c r="O358" t="n">
        <v>0</v>
      </c>
      <c r="P358" t="n">
        <v>0</v>
      </c>
      <c r="Q358" t="n">
        <v>0</v>
      </c>
      <c r="R358" s="2" t="inlineStr"/>
    </row>
    <row r="359" ht="15" customHeight="1">
      <c r="A359" t="inlineStr">
        <is>
          <t>A 26956-2026</t>
        </is>
      </c>
      <c r="B359" s="1" t="n">
        <v>46185.5684375</v>
      </c>
      <c r="C359" s="1" t="n">
        <v>46189</v>
      </c>
      <c r="D359" t="inlineStr">
        <is>
          <t>VÄSTERBOTTENS LÄN</t>
        </is>
      </c>
      <c r="E359" t="inlineStr">
        <is>
          <t>SORSELE</t>
        </is>
      </c>
      <c r="F359" t="inlineStr">
        <is>
          <t>Sveaskog</t>
        </is>
      </c>
      <c r="G359" t="n">
        <v>26.9</v>
      </c>
      <c r="H359" t="n">
        <v>0</v>
      </c>
      <c r="I359" t="n">
        <v>0</v>
      </c>
      <c r="J359" t="n">
        <v>0</v>
      </c>
      <c r="K359" t="n">
        <v>0</v>
      </c>
      <c r="L359" t="n">
        <v>0</v>
      </c>
      <c r="M359" t="n">
        <v>0</v>
      </c>
      <c r="N359" t="n">
        <v>0</v>
      </c>
      <c r="O359" t="n">
        <v>0</v>
      </c>
      <c r="P359" t="n">
        <v>0</v>
      </c>
      <c r="Q359" t="n">
        <v>0</v>
      </c>
      <c r="R359" s="2" t="inlineStr"/>
    </row>
    <row r="360">
      <c r="A360" t="inlineStr">
        <is>
          <t>A 21413-2026</t>
        </is>
      </c>
      <c r="B360" s="1" t="n">
        <v>46146</v>
      </c>
      <c r="C360" s="1" t="n">
        <v>46189</v>
      </c>
      <c r="D360" t="inlineStr">
        <is>
          <t>VÄSTERBOTTENS LÄN</t>
        </is>
      </c>
      <c r="E360" t="inlineStr">
        <is>
          <t>SORSELE</t>
        </is>
      </c>
      <c r="G360" t="n">
        <v>18.1</v>
      </c>
      <c r="H360" t="n">
        <v>0</v>
      </c>
      <c r="I360" t="n">
        <v>0</v>
      </c>
      <c r="J360" t="n">
        <v>0</v>
      </c>
      <c r="K360" t="n">
        <v>0</v>
      </c>
      <c r="L360" t="n">
        <v>0</v>
      </c>
      <c r="M360" t="n">
        <v>0</v>
      </c>
      <c r="N360" t="n">
        <v>0</v>
      </c>
      <c r="O360" t="n">
        <v>0</v>
      </c>
      <c r="P360" t="n">
        <v>0</v>
      </c>
      <c r="Q360" t="n">
        <v>0</v>
      </c>
      <c r="R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2026-06-16T12:56:57Z</dcterms:created>
  <dcterms:modified xmlns:dcterms="http://purl.org/dc/terms/" xmlns:xsi="http://www.w3.org/2001/XMLSchema-instance" xsi:type="dcterms:W3CDTF">2026-06-16T12:56:58Z</dcterms:modified>
</cp:coreProperties>
</file>