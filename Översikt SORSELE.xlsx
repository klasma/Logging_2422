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45810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45810</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45810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45810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45810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45810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45810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45810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45810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45810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45810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45810</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45810</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45810</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45810</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45810</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45810</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45810</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45810</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45810</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45810</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45810</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45810</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45810</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45810</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45810</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4723-2024</t>
        </is>
      </c>
      <c r="B28" s="1" t="n">
        <v>45328</v>
      </c>
      <c r="C28" s="1" t="n">
        <v>45810</v>
      </c>
      <c r="D28" t="inlineStr">
        <is>
          <t>VÄSTERBOTTENS LÄN</t>
        </is>
      </c>
      <c r="E28" t="inlineStr">
        <is>
          <t>SORSELE</t>
        </is>
      </c>
      <c r="G28" t="n">
        <v>28.1</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4723-2024 artfynd.xlsx", "A 4723-2024")</f>
        <v/>
      </c>
      <c r="T28">
        <f>HYPERLINK("https://klasma.github.io/Logging_2422/kartor/A 4723-2024 karta.png", "A 4723-2024")</f>
        <v/>
      </c>
      <c r="V28">
        <f>HYPERLINK("https://klasma.github.io/Logging_2422/klagomål/A 4723-2024 FSC-klagomål.docx", "A 4723-2024")</f>
        <v/>
      </c>
      <c r="W28">
        <f>HYPERLINK("https://klasma.github.io/Logging_2422/klagomålsmail/A 4723-2024 FSC-klagomål mail.docx", "A 4723-2024")</f>
        <v/>
      </c>
      <c r="X28">
        <f>HYPERLINK("https://klasma.github.io/Logging_2422/tillsyn/A 4723-2024 tillsynsbegäran.docx", "A 4723-2024")</f>
        <v/>
      </c>
      <c r="Y28">
        <f>HYPERLINK("https://klasma.github.io/Logging_2422/tillsynsmail/A 4723-2024 tillsynsbegäran mail.docx", "A 4723-2024")</f>
        <v/>
      </c>
    </row>
    <row r="29" ht="15" customHeight="1">
      <c r="A29" t="inlineStr">
        <is>
          <t>A 42118-2020</t>
        </is>
      </c>
      <c r="B29" s="1" t="n">
        <v>44075</v>
      </c>
      <c r="C29" s="1" t="n">
        <v>45810</v>
      </c>
      <c r="D29" t="inlineStr">
        <is>
          <t>VÄSTERBOTTENS LÄN</t>
        </is>
      </c>
      <c r="E29" t="inlineStr">
        <is>
          <t>SORSELE</t>
        </is>
      </c>
      <c r="F29" t="inlineStr">
        <is>
          <t>Sveaskog</t>
        </is>
      </c>
      <c r="G29" t="n">
        <v>6.2</v>
      </c>
      <c r="H29" t="n">
        <v>0</v>
      </c>
      <c r="I29" t="n">
        <v>0</v>
      </c>
      <c r="J29" t="n">
        <v>2</v>
      </c>
      <c r="K29" t="n">
        <v>3</v>
      </c>
      <c r="L29" t="n">
        <v>0</v>
      </c>
      <c r="M29" t="n">
        <v>0</v>
      </c>
      <c r="N29" t="n">
        <v>0</v>
      </c>
      <c r="O29" t="n">
        <v>5</v>
      </c>
      <c r="P29" t="n">
        <v>3</v>
      </c>
      <c r="Q29" t="n">
        <v>5</v>
      </c>
      <c r="R29" s="2" t="inlineStr">
        <is>
          <t>Smalfotad taggsvamp
Tallgråticka
Torrmusseron
Blå taggsvamp
Tallriska</t>
        </is>
      </c>
      <c r="S29">
        <f>HYPERLINK("https://klasma.github.io/Logging_2422/artfynd/A 42118-2020 artfynd.xlsx", "A 42118-2020")</f>
        <v/>
      </c>
      <c r="T29">
        <f>HYPERLINK("https://klasma.github.io/Logging_2422/kartor/A 42118-2020 karta.png", "A 42118-2020")</f>
        <v/>
      </c>
      <c r="V29">
        <f>HYPERLINK("https://klasma.github.io/Logging_2422/klagomål/A 42118-2020 FSC-klagomål.docx", "A 42118-2020")</f>
        <v/>
      </c>
      <c r="W29">
        <f>HYPERLINK("https://klasma.github.io/Logging_2422/klagomålsmail/A 42118-2020 FSC-klagomål mail.docx", "A 42118-2020")</f>
        <v/>
      </c>
      <c r="X29">
        <f>HYPERLINK("https://klasma.github.io/Logging_2422/tillsyn/A 42118-2020 tillsynsbegäran.docx", "A 42118-2020")</f>
        <v/>
      </c>
      <c r="Y29">
        <f>HYPERLINK("https://klasma.github.io/Logging_2422/tillsynsmail/A 42118-2020 tillsynsbegäran mail.docx", "A 42118-2020")</f>
        <v/>
      </c>
    </row>
    <row r="30" ht="15" customHeight="1">
      <c r="A30" t="inlineStr">
        <is>
          <t>A 24279-2021</t>
        </is>
      </c>
      <c r="B30" s="1" t="n">
        <v>44336</v>
      </c>
      <c r="C30" s="1" t="n">
        <v>45810</v>
      </c>
      <c r="D30" t="inlineStr">
        <is>
          <t>VÄSTERBOTTENS LÄN</t>
        </is>
      </c>
      <c r="E30" t="inlineStr">
        <is>
          <t>SORSELE</t>
        </is>
      </c>
      <c r="G30" t="n">
        <v>47.2</v>
      </c>
      <c r="H30" t="n">
        <v>0</v>
      </c>
      <c r="I30" t="n">
        <v>2</v>
      </c>
      <c r="J30" t="n">
        <v>2</v>
      </c>
      <c r="K30" t="n">
        <v>1</v>
      </c>
      <c r="L30" t="n">
        <v>0</v>
      </c>
      <c r="M30" t="n">
        <v>0</v>
      </c>
      <c r="N30" t="n">
        <v>0</v>
      </c>
      <c r="O30" t="n">
        <v>3</v>
      </c>
      <c r="P30" t="n">
        <v>1</v>
      </c>
      <c r="Q30" t="n">
        <v>5</v>
      </c>
      <c r="R30" s="2" t="inlineStr">
        <is>
          <t>Grenlav
Garnlav
Granticka
Skinnlav
Vedticka</t>
        </is>
      </c>
      <c r="S30">
        <f>HYPERLINK("https://klasma.github.io/Logging_2422/artfynd/A 24279-2021 artfynd.xlsx", "A 24279-2021")</f>
        <v/>
      </c>
      <c r="T30">
        <f>HYPERLINK("https://klasma.github.io/Logging_2422/kartor/A 24279-2021 karta.png", "A 24279-2021")</f>
        <v/>
      </c>
      <c r="V30">
        <f>HYPERLINK("https://klasma.github.io/Logging_2422/klagomål/A 24279-2021 FSC-klagomål.docx", "A 24279-2021")</f>
        <v/>
      </c>
      <c r="W30">
        <f>HYPERLINK("https://klasma.github.io/Logging_2422/klagomålsmail/A 24279-2021 FSC-klagomål mail.docx", "A 24279-2021")</f>
        <v/>
      </c>
      <c r="X30">
        <f>HYPERLINK("https://klasma.github.io/Logging_2422/tillsyn/A 24279-2021 tillsynsbegäran.docx", "A 24279-2021")</f>
        <v/>
      </c>
      <c r="Y30">
        <f>HYPERLINK("https://klasma.github.io/Logging_2422/tillsynsmail/A 24279-2021 tillsynsbegäran mail.docx", "A 24279-2021")</f>
        <v/>
      </c>
    </row>
    <row r="31" ht="15" customHeight="1">
      <c r="A31" t="inlineStr">
        <is>
          <t>A 54568-2021</t>
        </is>
      </c>
      <c r="B31" s="1" t="n">
        <v>44473</v>
      </c>
      <c r="C31" s="1" t="n">
        <v>45810</v>
      </c>
      <c r="D31" t="inlineStr">
        <is>
          <t>VÄSTERBOTTENS LÄN</t>
        </is>
      </c>
      <c r="E31" t="inlineStr">
        <is>
          <t>SORSELE</t>
        </is>
      </c>
      <c r="F31" t="inlineStr">
        <is>
          <t>Sveaskog</t>
        </is>
      </c>
      <c r="G31" t="n">
        <v>1.6</v>
      </c>
      <c r="H31" t="n">
        <v>2</v>
      </c>
      <c r="I31" t="n">
        <v>0</v>
      </c>
      <c r="J31" t="n">
        <v>5</v>
      </c>
      <c r="K31" t="n">
        <v>0</v>
      </c>
      <c r="L31" t="n">
        <v>0</v>
      </c>
      <c r="M31" t="n">
        <v>0</v>
      </c>
      <c r="N31" t="n">
        <v>0</v>
      </c>
      <c r="O31" t="n">
        <v>5</v>
      </c>
      <c r="P31" t="n">
        <v>0</v>
      </c>
      <c r="Q31" t="n">
        <v>5</v>
      </c>
      <c r="R31" s="2" t="inlineStr">
        <is>
          <t>Dvärgbägarlav
Garnlav
Granticka
Spillkråka
Talltita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16687-2021</t>
        </is>
      </c>
      <c r="B32" s="1" t="n">
        <v>44295</v>
      </c>
      <c r="C32" s="1" t="n">
        <v>45810</v>
      </c>
      <c r="D32" t="inlineStr">
        <is>
          <t>VÄSTERBOTTENS LÄN</t>
        </is>
      </c>
      <c r="E32" t="inlineStr">
        <is>
          <t>SORSELE</t>
        </is>
      </c>
      <c r="F32" t="inlineStr">
        <is>
          <t>Övriga statliga verk och myndigheter</t>
        </is>
      </c>
      <c r="G32" t="n">
        <v>19.7</v>
      </c>
      <c r="H32" t="n">
        <v>0</v>
      </c>
      <c r="I32" t="n">
        <v>0</v>
      </c>
      <c r="J32" t="n">
        <v>4</v>
      </c>
      <c r="K32" t="n">
        <v>0</v>
      </c>
      <c r="L32" t="n">
        <v>0</v>
      </c>
      <c r="M32" t="n">
        <v>0</v>
      </c>
      <c r="N32" t="n">
        <v>0</v>
      </c>
      <c r="O32" t="n">
        <v>4</v>
      </c>
      <c r="P32" t="n">
        <v>0</v>
      </c>
      <c r="Q32" t="n">
        <v>4</v>
      </c>
      <c r="R32" s="2" t="inlineStr">
        <is>
          <t>Brunpudrad nållav
Gammelgransskål
Garnlav
Granticka</t>
        </is>
      </c>
      <c r="S32">
        <f>HYPERLINK("https://klasma.github.io/Logging_2422/artfynd/A 16687-2021 artfynd.xlsx", "A 16687-2021")</f>
        <v/>
      </c>
      <c r="T32">
        <f>HYPERLINK("https://klasma.github.io/Logging_2422/kartor/A 16687-2021 karta.png", "A 16687-2021")</f>
        <v/>
      </c>
      <c r="V32">
        <f>HYPERLINK("https://klasma.github.io/Logging_2422/klagomål/A 16687-2021 FSC-klagomål.docx", "A 16687-2021")</f>
        <v/>
      </c>
      <c r="W32">
        <f>HYPERLINK("https://klasma.github.io/Logging_2422/klagomålsmail/A 16687-2021 FSC-klagomål mail.docx", "A 16687-2021")</f>
        <v/>
      </c>
      <c r="X32">
        <f>HYPERLINK("https://klasma.github.io/Logging_2422/tillsyn/A 16687-2021 tillsynsbegäran.docx", "A 16687-2021")</f>
        <v/>
      </c>
      <c r="Y32">
        <f>HYPERLINK("https://klasma.github.io/Logging_2422/tillsynsmail/A 16687-2021 tillsynsbegäran mail.docx", "A 16687-2021")</f>
        <v/>
      </c>
    </row>
    <row r="33" ht="15" customHeight="1">
      <c r="A33" t="inlineStr">
        <is>
          <t>A 66443-2021</t>
        </is>
      </c>
      <c r="B33" s="1" t="n">
        <v>44518</v>
      </c>
      <c r="C33" s="1" t="n">
        <v>45810</v>
      </c>
      <c r="D33" t="inlineStr">
        <is>
          <t>VÄSTERBOTTENS LÄN</t>
        </is>
      </c>
      <c r="E33" t="inlineStr">
        <is>
          <t>SORSELE</t>
        </is>
      </c>
      <c r="G33" t="n">
        <v>15.5</v>
      </c>
      <c r="H33" t="n">
        <v>1</v>
      </c>
      <c r="I33" t="n">
        <v>0</v>
      </c>
      <c r="J33" t="n">
        <v>4</v>
      </c>
      <c r="K33" t="n">
        <v>0</v>
      </c>
      <c r="L33" t="n">
        <v>0</v>
      </c>
      <c r="M33" t="n">
        <v>0</v>
      </c>
      <c r="N33" t="n">
        <v>0</v>
      </c>
      <c r="O33" t="n">
        <v>4</v>
      </c>
      <c r="P33" t="n">
        <v>0</v>
      </c>
      <c r="Q33" t="n">
        <v>4</v>
      </c>
      <c r="R33" s="2" t="inlineStr">
        <is>
          <t>Dvärgbägarlav
Granticka
Harticka
Talltita</t>
        </is>
      </c>
      <c r="S33">
        <f>HYPERLINK("https://klasma.github.io/Logging_2422/artfynd/A 66443-2021 artfynd.xlsx", "A 66443-2021")</f>
        <v/>
      </c>
      <c r="T33">
        <f>HYPERLINK("https://klasma.github.io/Logging_2422/kartor/A 66443-2021 karta.png", "A 66443-2021")</f>
        <v/>
      </c>
      <c r="V33">
        <f>HYPERLINK("https://klasma.github.io/Logging_2422/klagomål/A 66443-2021 FSC-klagomål.docx", "A 66443-2021")</f>
        <v/>
      </c>
      <c r="W33">
        <f>HYPERLINK("https://klasma.github.io/Logging_2422/klagomålsmail/A 66443-2021 FSC-klagomål mail.docx", "A 66443-2021")</f>
        <v/>
      </c>
      <c r="X33">
        <f>HYPERLINK("https://klasma.github.io/Logging_2422/tillsyn/A 66443-2021 tillsynsbegäran.docx", "A 66443-2021")</f>
        <v/>
      </c>
      <c r="Y33">
        <f>HYPERLINK("https://klasma.github.io/Logging_2422/tillsynsmail/A 66443-2021 tillsynsbegäran mail.docx", "A 66443-2021")</f>
        <v/>
      </c>
      <c r="Z33">
        <f>HYPERLINK("https://klasma.github.io/Logging_2422/fåglar/A 66443-2021 prioriterade fågelarter.docx", "A 66443-2021")</f>
        <v/>
      </c>
    </row>
    <row r="34" ht="15" customHeight="1">
      <c r="A34" t="inlineStr">
        <is>
          <t>A 45582-2022</t>
        </is>
      </c>
      <c r="B34" s="1" t="n">
        <v>44841</v>
      </c>
      <c r="C34" s="1" t="n">
        <v>45810</v>
      </c>
      <c r="D34" t="inlineStr">
        <is>
          <t>VÄSTERBOTTENS LÄN</t>
        </is>
      </c>
      <c r="E34" t="inlineStr">
        <is>
          <t>SORSELE</t>
        </is>
      </c>
      <c r="G34" t="n">
        <v>87.8</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34033-2023</t>
        </is>
      </c>
      <c r="B35" s="1" t="n">
        <v>45124</v>
      </c>
      <c r="C35" s="1" t="n">
        <v>45810</v>
      </c>
      <c r="D35" t="inlineStr">
        <is>
          <t>VÄSTERBOTTENS LÄN</t>
        </is>
      </c>
      <c r="E35" t="inlineStr">
        <is>
          <t>SORSELE</t>
        </is>
      </c>
      <c r="G35" t="n">
        <v>53.4</v>
      </c>
      <c r="H35" t="n">
        <v>1</v>
      </c>
      <c r="I35" t="n">
        <v>0</v>
      </c>
      <c r="J35" t="n">
        <v>3</v>
      </c>
      <c r="K35" t="n">
        <v>0</v>
      </c>
      <c r="L35" t="n">
        <v>0</v>
      </c>
      <c r="M35" t="n">
        <v>0</v>
      </c>
      <c r="N35" t="n">
        <v>0</v>
      </c>
      <c r="O35" t="n">
        <v>3</v>
      </c>
      <c r="P35" t="n">
        <v>0</v>
      </c>
      <c r="Q35" t="n">
        <v>4</v>
      </c>
      <c r="R35" s="2" t="inlineStr">
        <is>
          <t>Blanksvart spiklav
Blågrå svartspik
Garnlav
Tjäder</t>
        </is>
      </c>
      <c r="S35">
        <f>HYPERLINK("https://klasma.github.io/Logging_2422/artfynd/A 34033-2023 artfynd.xlsx", "A 34033-2023")</f>
        <v/>
      </c>
      <c r="T35">
        <f>HYPERLINK("https://klasma.github.io/Logging_2422/kartor/A 34033-2023 karta.png", "A 34033-2023")</f>
        <v/>
      </c>
      <c r="V35">
        <f>HYPERLINK("https://klasma.github.io/Logging_2422/klagomål/A 34033-2023 FSC-klagomål.docx", "A 34033-2023")</f>
        <v/>
      </c>
      <c r="W35">
        <f>HYPERLINK("https://klasma.github.io/Logging_2422/klagomålsmail/A 34033-2023 FSC-klagomål mail.docx", "A 34033-2023")</f>
        <v/>
      </c>
      <c r="X35">
        <f>HYPERLINK("https://klasma.github.io/Logging_2422/tillsyn/A 34033-2023 tillsynsbegäran.docx", "A 34033-2023")</f>
        <v/>
      </c>
      <c r="Y35">
        <f>HYPERLINK("https://klasma.github.io/Logging_2422/tillsynsmail/A 34033-2023 tillsynsbegäran mail.docx", "A 34033-2023")</f>
        <v/>
      </c>
      <c r="Z35">
        <f>HYPERLINK("https://klasma.github.io/Logging_2422/fåglar/A 34033-2023 prioriterade fågelarter.docx", "A 34033-2023")</f>
        <v/>
      </c>
    </row>
    <row r="36" ht="15" customHeight="1">
      <c r="A36" t="inlineStr">
        <is>
          <t>A 43272-2021</t>
        </is>
      </c>
      <c r="B36" s="1" t="n">
        <v>44432</v>
      </c>
      <c r="C36" s="1" t="n">
        <v>45810</v>
      </c>
      <c r="D36" t="inlineStr">
        <is>
          <t>VÄSTERBOTTENS LÄN</t>
        </is>
      </c>
      <c r="E36" t="inlineStr">
        <is>
          <t>SORSELE</t>
        </is>
      </c>
      <c r="G36" t="n">
        <v>24.4</v>
      </c>
      <c r="H36" t="n">
        <v>1</v>
      </c>
      <c r="I36" t="n">
        <v>0</v>
      </c>
      <c r="J36" t="n">
        <v>3</v>
      </c>
      <c r="K36" t="n">
        <v>0</v>
      </c>
      <c r="L36" t="n">
        <v>0</v>
      </c>
      <c r="M36" t="n">
        <v>0</v>
      </c>
      <c r="N36" t="n">
        <v>0</v>
      </c>
      <c r="O36" t="n">
        <v>3</v>
      </c>
      <c r="P36" t="n">
        <v>0</v>
      </c>
      <c r="Q36" t="n">
        <v>3</v>
      </c>
      <c r="R36" s="2" t="inlineStr">
        <is>
          <t>Garnlav
Granticka
Tretåig hackspett</t>
        </is>
      </c>
      <c r="S36">
        <f>HYPERLINK("https://klasma.github.io/Logging_2422/artfynd/A 43272-2021 artfynd.xlsx", "A 43272-2021")</f>
        <v/>
      </c>
      <c r="T36">
        <f>HYPERLINK("https://klasma.github.io/Logging_2422/kartor/A 43272-2021 karta.png", "A 43272-2021")</f>
        <v/>
      </c>
      <c r="V36">
        <f>HYPERLINK("https://klasma.github.io/Logging_2422/klagomål/A 43272-2021 FSC-klagomål.docx", "A 43272-2021")</f>
        <v/>
      </c>
      <c r="W36">
        <f>HYPERLINK("https://klasma.github.io/Logging_2422/klagomålsmail/A 43272-2021 FSC-klagomål mail.docx", "A 43272-2021")</f>
        <v/>
      </c>
      <c r="X36">
        <f>HYPERLINK("https://klasma.github.io/Logging_2422/tillsyn/A 43272-2021 tillsynsbegäran.docx", "A 43272-2021")</f>
        <v/>
      </c>
      <c r="Y36">
        <f>HYPERLINK("https://klasma.github.io/Logging_2422/tillsynsmail/A 43272-2021 tillsynsbegäran mail.docx", "A 43272-2021")</f>
        <v/>
      </c>
      <c r="Z36">
        <f>HYPERLINK("https://klasma.github.io/Logging_2422/fåglar/A 43272-2021 prioriterade fågelarter.docx", "A 43272-2021")</f>
        <v/>
      </c>
    </row>
    <row r="37" ht="15" customHeight="1">
      <c r="A37" t="inlineStr">
        <is>
          <t>A 46088-2022</t>
        </is>
      </c>
      <c r="B37" s="1" t="n">
        <v>44845</v>
      </c>
      <c r="C37" s="1" t="n">
        <v>45810</v>
      </c>
      <c r="D37" t="inlineStr">
        <is>
          <t>VÄSTERBOTTENS LÄN</t>
        </is>
      </c>
      <c r="E37" t="inlineStr">
        <is>
          <t>SORSELE</t>
        </is>
      </c>
      <c r="G37" t="n">
        <v>3.1</v>
      </c>
      <c r="H37" t="n">
        <v>1</v>
      </c>
      <c r="I37" t="n">
        <v>0</v>
      </c>
      <c r="J37" t="n">
        <v>2</v>
      </c>
      <c r="K37" t="n">
        <v>0</v>
      </c>
      <c r="L37" t="n">
        <v>0</v>
      </c>
      <c r="M37" t="n">
        <v>0</v>
      </c>
      <c r="N37" t="n">
        <v>0</v>
      </c>
      <c r="O37" t="n">
        <v>2</v>
      </c>
      <c r="P37" t="n">
        <v>0</v>
      </c>
      <c r="Q37" t="n">
        <v>3</v>
      </c>
      <c r="R37" s="2" t="inlineStr">
        <is>
          <t>Garnlav
Granticka
Revlummer</t>
        </is>
      </c>
      <c r="S37">
        <f>HYPERLINK("https://klasma.github.io/Logging_2422/artfynd/A 46088-2022 artfynd.xlsx", "A 46088-2022")</f>
        <v/>
      </c>
      <c r="T37">
        <f>HYPERLINK("https://klasma.github.io/Logging_2422/kartor/A 46088-2022 karta.png", "A 46088-2022")</f>
        <v/>
      </c>
      <c r="V37">
        <f>HYPERLINK("https://klasma.github.io/Logging_2422/klagomål/A 46088-2022 FSC-klagomål.docx", "A 46088-2022")</f>
        <v/>
      </c>
      <c r="W37">
        <f>HYPERLINK("https://klasma.github.io/Logging_2422/klagomålsmail/A 46088-2022 FSC-klagomål mail.docx", "A 46088-2022")</f>
        <v/>
      </c>
      <c r="X37">
        <f>HYPERLINK("https://klasma.github.io/Logging_2422/tillsyn/A 46088-2022 tillsynsbegäran.docx", "A 46088-2022")</f>
        <v/>
      </c>
      <c r="Y37">
        <f>HYPERLINK("https://klasma.github.io/Logging_2422/tillsynsmail/A 46088-2022 tillsynsbegäran mail.docx", "A 46088-2022")</f>
        <v/>
      </c>
    </row>
    <row r="38" ht="15" customHeight="1">
      <c r="A38" t="inlineStr">
        <is>
          <t>A 14520-2024</t>
        </is>
      </c>
      <c r="B38" s="1" t="n">
        <v>45394</v>
      </c>
      <c r="C38" s="1" t="n">
        <v>45810</v>
      </c>
      <c r="D38" t="inlineStr">
        <is>
          <t>VÄSTERBOTTENS LÄN</t>
        </is>
      </c>
      <c r="E38" t="inlineStr">
        <is>
          <t>SORSELE</t>
        </is>
      </c>
      <c r="F38" t="inlineStr">
        <is>
          <t>Sveaskog</t>
        </is>
      </c>
      <c r="G38" t="n">
        <v>10</v>
      </c>
      <c r="H38" t="n">
        <v>1</v>
      </c>
      <c r="I38" t="n">
        <v>1</v>
      </c>
      <c r="J38" t="n">
        <v>2</v>
      </c>
      <c r="K38" t="n">
        <v>0</v>
      </c>
      <c r="L38" t="n">
        <v>0</v>
      </c>
      <c r="M38" t="n">
        <v>0</v>
      </c>
      <c r="N38" t="n">
        <v>0</v>
      </c>
      <c r="O38" t="n">
        <v>2</v>
      </c>
      <c r="P38" t="n">
        <v>0</v>
      </c>
      <c r="Q38" t="n">
        <v>3</v>
      </c>
      <c r="R38" s="2" t="inlineStr">
        <is>
          <t>Skrovellav
Talltita
Stuplav</t>
        </is>
      </c>
      <c r="S38">
        <f>HYPERLINK("https://klasma.github.io/Logging_2422/artfynd/A 14520-2024 artfynd.xlsx", "A 14520-2024")</f>
        <v/>
      </c>
      <c r="T38">
        <f>HYPERLINK("https://klasma.github.io/Logging_2422/kartor/A 14520-2024 karta.png", "A 14520-2024")</f>
        <v/>
      </c>
      <c r="V38">
        <f>HYPERLINK("https://klasma.github.io/Logging_2422/klagomål/A 14520-2024 FSC-klagomål.docx", "A 14520-2024")</f>
        <v/>
      </c>
      <c r="W38">
        <f>HYPERLINK("https://klasma.github.io/Logging_2422/klagomålsmail/A 14520-2024 FSC-klagomål mail.docx", "A 14520-2024")</f>
        <v/>
      </c>
      <c r="X38">
        <f>HYPERLINK("https://klasma.github.io/Logging_2422/tillsyn/A 14520-2024 tillsynsbegäran.docx", "A 14520-2024")</f>
        <v/>
      </c>
      <c r="Y38">
        <f>HYPERLINK("https://klasma.github.io/Logging_2422/tillsynsmail/A 14520-2024 tillsynsbegäran mail.docx", "A 14520-2024")</f>
        <v/>
      </c>
      <c r="Z38">
        <f>HYPERLINK("https://klasma.github.io/Logging_2422/fåglar/A 14520-2024 prioriterade fågelarter.docx", "A 14520-2024")</f>
        <v/>
      </c>
    </row>
    <row r="39" ht="15" customHeight="1">
      <c r="A39" t="inlineStr">
        <is>
          <t>A 36344-2020</t>
        </is>
      </c>
      <c r="B39" s="1" t="n">
        <v>44049</v>
      </c>
      <c r="C39" s="1" t="n">
        <v>45810</v>
      </c>
      <c r="D39" t="inlineStr">
        <is>
          <t>VÄSTERBOTTENS LÄN</t>
        </is>
      </c>
      <c r="E39" t="inlineStr">
        <is>
          <t>SORSELE</t>
        </is>
      </c>
      <c r="G39" t="n">
        <v>5.4</v>
      </c>
      <c r="H39" t="n">
        <v>0</v>
      </c>
      <c r="I39" t="n">
        <v>0</v>
      </c>
      <c r="J39" t="n">
        <v>2</v>
      </c>
      <c r="K39" t="n">
        <v>0</v>
      </c>
      <c r="L39" t="n">
        <v>0</v>
      </c>
      <c r="M39" t="n">
        <v>0</v>
      </c>
      <c r="N39" t="n">
        <v>0</v>
      </c>
      <c r="O39" t="n">
        <v>2</v>
      </c>
      <c r="P39" t="n">
        <v>0</v>
      </c>
      <c r="Q39" t="n">
        <v>2</v>
      </c>
      <c r="R39" s="2" t="inlineStr">
        <is>
          <t>Garnlav
Rödbrun blekspik</t>
        </is>
      </c>
      <c r="S39">
        <f>HYPERLINK("https://klasma.github.io/Logging_2422/artfynd/A 36344-2020 artfynd.xlsx", "A 36344-2020")</f>
        <v/>
      </c>
      <c r="T39">
        <f>HYPERLINK("https://klasma.github.io/Logging_2422/kartor/A 36344-2020 karta.png", "A 36344-2020")</f>
        <v/>
      </c>
      <c r="V39">
        <f>HYPERLINK("https://klasma.github.io/Logging_2422/klagomål/A 36344-2020 FSC-klagomål.docx", "A 36344-2020")</f>
        <v/>
      </c>
      <c r="W39">
        <f>HYPERLINK("https://klasma.github.io/Logging_2422/klagomålsmail/A 36344-2020 FSC-klagomål mail.docx", "A 36344-2020")</f>
        <v/>
      </c>
      <c r="X39">
        <f>HYPERLINK("https://klasma.github.io/Logging_2422/tillsyn/A 36344-2020 tillsynsbegäran.docx", "A 36344-2020")</f>
        <v/>
      </c>
      <c r="Y39">
        <f>HYPERLINK("https://klasma.github.io/Logging_2422/tillsynsmail/A 36344-2020 tillsynsbegäran mail.docx", "A 36344-2020")</f>
        <v/>
      </c>
    </row>
    <row r="40" ht="15" customHeight="1">
      <c r="A40" t="inlineStr">
        <is>
          <t>A 43940-2020</t>
        </is>
      </c>
      <c r="B40" s="1" t="n">
        <v>44078</v>
      </c>
      <c r="C40" s="1" t="n">
        <v>45810</v>
      </c>
      <c r="D40" t="inlineStr">
        <is>
          <t>VÄSTERBOTTENS LÄN</t>
        </is>
      </c>
      <c r="E40" t="inlineStr">
        <is>
          <t>SORSELE</t>
        </is>
      </c>
      <c r="F40" t="inlineStr">
        <is>
          <t>Allmännings- och besparingsskogar</t>
        </is>
      </c>
      <c r="G40" t="n">
        <v>126.6</v>
      </c>
      <c r="H40" t="n">
        <v>0</v>
      </c>
      <c r="I40" t="n">
        <v>0</v>
      </c>
      <c r="J40" t="n">
        <v>1</v>
      </c>
      <c r="K40" t="n">
        <v>1</v>
      </c>
      <c r="L40" t="n">
        <v>0</v>
      </c>
      <c r="M40" t="n">
        <v>0</v>
      </c>
      <c r="N40" t="n">
        <v>0</v>
      </c>
      <c r="O40" t="n">
        <v>2</v>
      </c>
      <c r="P40" t="n">
        <v>1</v>
      </c>
      <c r="Q40" t="n">
        <v>2</v>
      </c>
      <c r="R40" s="2" t="inlineStr">
        <is>
          <t>Tajgaskinn
Dvärgbägarlav</t>
        </is>
      </c>
      <c r="S40">
        <f>HYPERLINK("https://klasma.github.io/Logging_2422/artfynd/A 43940-2020 artfynd.xlsx", "A 43940-2020")</f>
        <v/>
      </c>
      <c r="T40">
        <f>HYPERLINK("https://klasma.github.io/Logging_2422/kartor/A 43940-2020 karta.png", "A 43940-2020")</f>
        <v/>
      </c>
      <c r="V40">
        <f>HYPERLINK("https://klasma.github.io/Logging_2422/klagomål/A 43940-2020 FSC-klagomål.docx", "A 43940-2020")</f>
        <v/>
      </c>
      <c r="W40">
        <f>HYPERLINK("https://klasma.github.io/Logging_2422/klagomålsmail/A 43940-2020 FSC-klagomål mail.docx", "A 43940-2020")</f>
        <v/>
      </c>
      <c r="X40">
        <f>HYPERLINK("https://klasma.github.io/Logging_2422/tillsyn/A 43940-2020 tillsynsbegäran.docx", "A 43940-2020")</f>
        <v/>
      </c>
      <c r="Y40">
        <f>HYPERLINK("https://klasma.github.io/Logging_2422/tillsynsmail/A 43940-2020 tillsynsbegäran mail.docx", "A 43940-2020")</f>
        <v/>
      </c>
    </row>
    <row r="41" ht="15" customHeight="1">
      <c r="A41" t="inlineStr">
        <is>
          <t>A 43975-2020</t>
        </is>
      </c>
      <c r="B41" s="1" t="n">
        <v>44078</v>
      </c>
      <c r="C41" s="1" t="n">
        <v>45810</v>
      </c>
      <c r="D41" t="inlineStr">
        <is>
          <t>VÄSTERBOTTENS LÄN</t>
        </is>
      </c>
      <c r="E41" t="inlineStr">
        <is>
          <t>SORSELE</t>
        </is>
      </c>
      <c r="F41" t="inlineStr">
        <is>
          <t>Allmännings- och besparingsskogar</t>
        </is>
      </c>
      <c r="G41" t="n">
        <v>93.5</v>
      </c>
      <c r="H41" t="n">
        <v>0</v>
      </c>
      <c r="I41" t="n">
        <v>0</v>
      </c>
      <c r="J41" t="n">
        <v>2</v>
      </c>
      <c r="K41" t="n">
        <v>0</v>
      </c>
      <c r="L41" t="n">
        <v>0</v>
      </c>
      <c r="M41" t="n">
        <v>0</v>
      </c>
      <c r="N41" t="n">
        <v>0</v>
      </c>
      <c r="O41" t="n">
        <v>2</v>
      </c>
      <c r="P41" t="n">
        <v>0</v>
      </c>
      <c r="Q41" t="n">
        <v>2</v>
      </c>
      <c r="R41" s="2" t="inlineStr">
        <is>
          <t>Granticka
Vitgrynig nållav</t>
        </is>
      </c>
      <c r="S41">
        <f>HYPERLINK("https://klasma.github.io/Logging_2422/artfynd/A 43975-2020 artfynd.xlsx", "A 43975-2020")</f>
        <v/>
      </c>
      <c r="T41">
        <f>HYPERLINK("https://klasma.github.io/Logging_2422/kartor/A 43975-2020 karta.png", "A 43975-2020")</f>
        <v/>
      </c>
      <c r="V41">
        <f>HYPERLINK("https://klasma.github.io/Logging_2422/klagomål/A 43975-2020 FSC-klagomål.docx", "A 43975-2020")</f>
        <v/>
      </c>
      <c r="W41">
        <f>HYPERLINK("https://klasma.github.io/Logging_2422/klagomålsmail/A 43975-2020 FSC-klagomål mail.docx", "A 43975-2020")</f>
        <v/>
      </c>
      <c r="X41">
        <f>HYPERLINK("https://klasma.github.io/Logging_2422/tillsyn/A 43975-2020 tillsynsbegäran.docx", "A 43975-2020")</f>
        <v/>
      </c>
      <c r="Y41">
        <f>HYPERLINK("https://klasma.github.io/Logging_2422/tillsynsmail/A 43975-2020 tillsynsbegäran mail.docx", "A 43975-2020")</f>
        <v/>
      </c>
    </row>
    <row r="42" ht="15" customHeight="1">
      <c r="A42" t="inlineStr">
        <is>
          <t>A 43265-2021</t>
        </is>
      </c>
      <c r="B42" s="1" t="n">
        <v>44432</v>
      </c>
      <c r="C42" s="1" t="n">
        <v>45810</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45810</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45810</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45810</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45810</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45810</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45810</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45810</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45810</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45810</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45810</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45810</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45810</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45810</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45810</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45810</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45810</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45810</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45810</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45810</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45810</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45810</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45810</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45810</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45810</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45810</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45810</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45810</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45810</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45810</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45810</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45810</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45810</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45810</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45810</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45810</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45810</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45810</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45810</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45810</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45810</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45810</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45810</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45810</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45810</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45810</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45810</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45810</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45810</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45810</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45810</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45810</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45810</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45810</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45810</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45810</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45810</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45810</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45810</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45810</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45810</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45810</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45810</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45810</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45810</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45810</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45810</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45810</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45810</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45810</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45810</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45810</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45810</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45810</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45810</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45810</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45810</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45810</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45810</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45810</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45810</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45810</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45810</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45810</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45810</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45810</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45810</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45810</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45810</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45810</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45810</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45810</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45810</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45810</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45810</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45810</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45810</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45810</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45810</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45810</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45810</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45810</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45810</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45810</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45810</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45810</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45810</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45810</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45810</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45810</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45810</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45810</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45810</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45810</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45810</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45810</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45810</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45810</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45810</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45810</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45810</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45810</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45810</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45810</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45810</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45810</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45810</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45810</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45810</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45810</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45810</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45810</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45810</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45810</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45810</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45810</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45810</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45810</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45810</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45810</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45810</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45810</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45810</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45810</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45810</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45810</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45810</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45810</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45810</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45810</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45810</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45810</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45810</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45810</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45810</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45810</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45810</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45810</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45810</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45810</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45810</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45810</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45810</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45810</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45810</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45810</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45810</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45810</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45810</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45810</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45810</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45810</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45810</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45810</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45810</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45810</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45810</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45810</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45810</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45810</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45810</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45810</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45810</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45810</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45810</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45810</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45810</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45810</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45810</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45810</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45810</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45810</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45810</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45810</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45810</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45810</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45810</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45810</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45810</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45810</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45810</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45810</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45810</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45810</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45810</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45810</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45810</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45810</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45810</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45810</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45810</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45810</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45810</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45810</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45810</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45810</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45810</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45810</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45810</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45810</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45810</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45810</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45810</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45810</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45810</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45810</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45810</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45810</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45810</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45810</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45810</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45810</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45810</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45810</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45810</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45810</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45810</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45810</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45810</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45810</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45810</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45810</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45810</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45810</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45810</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45810</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45810</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45810</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45810</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45810</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45810</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45810</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45810</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45810</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45810</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45810</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45810</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45810</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45810</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45810</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45810</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45810</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45810</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45810</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45810</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45810</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45810</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45810</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45810</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45810</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45810</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45810</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45810</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45810</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45810</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45810</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45810</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45810</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45810</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45810</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45810</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45810</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45810</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45810</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45810</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45810</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45810</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45810</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45810</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45810</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45810</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45810</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45810</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45810</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45810</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45810</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45810</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45810</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45810</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45810</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45810</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45810</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45810</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45810</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45810</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45810</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45810</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45810</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45810</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45810</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45810</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45810</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45810</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45810</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45810</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45810</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45810</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45810</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45810</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45810</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45810</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45810</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45810</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45810</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45810</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45810</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45810</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45810</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45810</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45810</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45810</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45810</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45810</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45810</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45810</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45810</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45810</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45810</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45810</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45810</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45810</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45810</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45810</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45810</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45810</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45810</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45810</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45810</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45810</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45810</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45810</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45810</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45810</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45810</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45810</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45810</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45810</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45810</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45810</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45810</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45810</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45810</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45810</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45810</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45810</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45810</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45810</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45810</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45810</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45810</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45810</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45810</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45810</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45810</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45810</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45810</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45810</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45810</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45810</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45810</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45810</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45810</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45810</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45810</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45810</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45810</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45810</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45810</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45810</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45810</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45810</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45810</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45810</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45810</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45810</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45810</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45810</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45810</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45810</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45810</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45810</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45810</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45810</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45810</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45810</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45810</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45810</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45810</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45810</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45810</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45810</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45810</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45810</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45810</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45810</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45810</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45810</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45810</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45810</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45810</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45810</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45810</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45810</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45810</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45810</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45810</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45810</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45810</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45810</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45810</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45810</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45810</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45810</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45810</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45810</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45810</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45810</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45810</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45810</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45810</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45810</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45810</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45810</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45810</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45810</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45810</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45810</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45810</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45810</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45810</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45810</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45810</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45810</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45810</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45810</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45810</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45810</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45810</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45810</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45810</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45810</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45810</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45810</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45810</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45810</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45810</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45810</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45810</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45810</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45810</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45810</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45810</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45810</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45810</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45810</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45810</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45810</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45810</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45810</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45810</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45810</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45810</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45810</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45810</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45810</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45810</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45810</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45810</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45810</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45810</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45810</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45810</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45810</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45810</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45810</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45810</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45810</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45810</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45810</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45810</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45810</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45810</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45810</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45810</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45810</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45810</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45810</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45810</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45810</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45810</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45810</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45810</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45810</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45810</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45810</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23943-2025</t>
        </is>
      </c>
      <c r="B557" s="1" t="n">
        <v>45794</v>
      </c>
      <c r="C557" s="1" t="n">
        <v>45810</v>
      </c>
      <c r="D557" t="inlineStr">
        <is>
          <t>VÄSTERBOTTENS LÄN</t>
        </is>
      </c>
      <c r="E557" t="inlineStr">
        <is>
          <t>SORSELE</t>
        </is>
      </c>
      <c r="G557" t="n">
        <v>11.9</v>
      </c>
      <c r="H557" t="n">
        <v>0</v>
      </c>
      <c r="I557" t="n">
        <v>0</v>
      </c>
      <c r="J557" t="n">
        <v>0</v>
      </c>
      <c r="K557" t="n">
        <v>0</v>
      </c>
      <c r="L557" t="n">
        <v>0</v>
      </c>
      <c r="M557" t="n">
        <v>0</v>
      </c>
      <c r="N557" t="n">
        <v>0</v>
      </c>
      <c r="O557" t="n">
        <v>0</v>
      </c>
      <c r="P557" t="n">
        <v>0</v>
      </c>
      <c r="Q557" t="n">
        <v>0</v>
      </c>
      <c r="R557" s="2" t="inlineStr"/>
    </row>
    <row r="558" ht="15" customHeight="1">
      <c r="A558" t="inlineStr">
        <is>
          <t>A 23952-2025</t>
        </is>
      </c>
      <c r="B558" s="1" t="n">
        <v>45794</v>
      </c>
      <c r="C558" s="1" t="n">
        <v>45810</v>
      </c>
      <c r="D558" t="inlineStr">
        <is>
          <t>VÄSTERBOTTENS LÄN</t>
        </is>
      </c>
      <c r="E558" t="inlineStr">
        <is>
          <t>SORSELE</t>
        </is>
      </c>
      <c r="G558" t="n">
        <v>20.7</v>
      </c>
      <c r="H558" t="n">
        <v>0</v>
      </c>
      <c r="I558" t="n">
        <v>0</v>
      </c>
      <c r="J558" t="n">
        <v>0</v>
      </c>
      <c r="K558" t="n">
        <v>0</v>
      </c>
      <c r="L558" t="n">
        <v>0</v>
      </c>
      <c r="M558" t="n">
        <v>0</v>
      </c>
      <c r="N558" t="n">
        <v>0</v>
      </c>
      <c r="O558" t="n">
        <v>0</v>
      </c>
      <c r="P558" t="n">
        <v>0</v>
      </c>
      <c r="Q558" t="n">
        <v>0</v>
      </c>
      <c r="R558" s="2" t="inlineStr"/>
    </row>
    <row r="559" ht="15" customHeight="1">
      <c r="A559" t="inlineStr">
        <is>
          <t>A 23935-2025</t>
        </is>
      </c>
      <c r="B559" s="1" t="n">
        <v>45795</v>
      </c>
      <c r="C559" s="1" t="n">
        <v>45810</v>
      </c>
      <c r="D559" t="inlineStr">
        <is>
          <t>VÄSTERBOTTENS LÄN</t>
        </is>
      </c>
      <c r="E559" t="inlineStr">
        <is>
          <t>SORSELE</t>
        </is>
      </c>
      <c r="G559" t="n">
        <v>6.5</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45810</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ht="15" customHeight="1">
      <c r="A561" t="inlineStr">
        <is>
          <t>A 24152-2025</t>
        </is>
      </c>
      <c r="B561" s="1" t="n">
        <v>45796</v>
      </c>
      <c r="C561" s="1" t="n">
        <v>45810</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row r="562" ht="15" customHeight="1">
      <c r="A562" t="inlineStr">
        <is>
          <t>A 26033-2025</t>
        </is>
      </c>
      <c r="B562" s="1" t="n">
        <v>45804</v>
      </c>
      <c r="C562" s="1" t="n">
        <v>45810</v>
      </c>
      <c r="D562" t="inlineStr">
        <is>
          <t>VÄSTERBOTTENS LÄN</t>
        </is>
      </c>
      <c r="E562" t="inlineStr">
        <is>
          <t>SORSELE</t>
        </is>
      </c>
      <c r="G562" t="n">
        <v>3.2</v>
      </c>
      <c r="H562" t="n">
        <v>0</v>
      </c>
      <c r="I562" t="n">
        <v>0</v>
      </c>
      <c r="J562" t="n">
        <v>0</v>
      </c>
      <c r="K562" t="n">
        <v>0</v>
      </c>
      <c r="L562" t="n">
        <v>0</v>
      </c>
      <c r="M562" t="n">
        <v>0</v>
      </c>
      <c r="N562" t="n">
        <v>0</v>
      </c>
      <c r="O562" t="n">
        <v>0</v>
      </c>
      <c r="P562" t="n">
        <v>0</v>
      </c>
      <c r="Q562" t="n">
        <v>0</v>
      </c>
      <c r="R562" s="2" t="inlineStr"/>
    </row>
    <row r="563" ht="15" customHeight="1">
      <c r="A563" t="inlineStr">
        <is>
          <t>A 26037-2025</t>
        </is>
      </c>
      <c r="B563" s="1" t="n">
        <v>45804</v>
      </c>
      <c r="C563" s="1" t="n">
        <v>45810</v>
      </c>
      <c r="D563" t="inlineStr">
        <is>
          <t>VÄSTERBOTTENS LÄN</t>
        </is>
      </c>
      <c r="E563" t="inlineStr">
        <is>
          <t>SORSELE</t>
        </is>
      </c>
      <c r="G563" t="n">
        <v>0.6</v>
      </c>
      <c r="H563" t="n">
        <v>0</v>
      </c>
      <c r="I563" t="n">
        <v>0</v>
      </c>
      <c r="J563" t="n">
        <v>0</v>
      </c>
      <c r="K563" t="n">
        <v>0</v>
      </c>
      <c r="L563" t="n">
        <v>0</v>
      </c>
      <c r="M563" t="n">
        <v>0</v>
      </c>
      <c r="N563" t="n">
        <v>0</v>
      </c>
      <c r="O563" t="n">
        <v>0</v>
      </c>
      <c r="P563" t="n">
        <v>0</v>
      </c>
      <c r="Q563" t="n">
        <v>0</v>
      </c>
      <c r="R563" s="2" t="inlineStr"/>
    </row>
    <row r="564" ht="15" customHeight="1">
      <c r="A564" t="inlineStr">
        <is>
          <t>A 26027-2025</t>
        </is>
      </c>
      <c r="B564" s="1" t="n">
        <v>45804</v>
      </c>
      <c r="C564" s="1" t="n">
        <v>45810</v>
      </c>
      <c r="D564" t="inlineStr">
        <is>
          <t>VÄSTERBOTTENS LÄN</t>
        </is>
      </c>
      <c r="E564" t="inlineStr">
        <is>
          <t>SORSELE</t>
        </is>
      </c>
      <c r="G564" t="n">
        <v>3.8</v>
      </c>
      <c r="H564" t="n">
        <v>0</v>
      </c>
      <c r="I564" t="n">
        <v>0</v>
      </c>
      <c r="J564" t="n">
        <v>0</v>
      </c>
      <c r="K564" t="n">
        <v>0</v>
      </c>
      <c r="L564" t="n">
        <v>0</v>
      </c>
      <c r="M564" t="n">
        <v>0</v>
      </c>
      <c r="N564" t="n">
        <v>0</v>
      </c>
      <c r="O564" t="n">
        <v>0</v>
      </c>
      <c r="P564" t="n">
        <v>0</v>
      </c>
      <c r="Q564" t="n">
        <v>0</v>
      </c>
      <c r="R564" s="2" t="inlineStr"/>
    </row>
    <row r="565" ht="15" customHeight="1">
      <c r="A565" t="inlineStr">
        <is>
          <t>A 26036-2025</t>
        </is>
      </c>
      <c r="B565" s="1" t="n">
        <v>45804</v>
      </c>
      <c r="C565" s="1" t="n">
        <v>45810</v>
      </c>
      <c r="D565" t="inlineStr">
        <is>
          <t>VÄSTERBOTTENS LÄN</t>
        </is>
      </c>
      <c r="E565" t="inlineStr">
        <is>
          <t>SORSELE</t>
        </is>
      </c>
      <c r="G565" t="n">
        <v>1.3</v>
      </c>
      <c r="H565" t="n">
        <v>0</v>
      </c>
      <c r="I565" t="n">
        <v>0</v>
      </c>
      <c r="J565" t="n">
        <v>0</v>
      </c>
      <c r="K565" t="n">
        <v>0</v>
      </c>
      <c r="L565" t="n">
        <v>0</v>
      </c>
      <c r="M565" t="n">
        <v>0</v>
      </c>
      <c r="N565" t="n">
        <v>0</v>
      </c>
      <c r="O565" t="n">
        <v>0</v>
      </c>
      <c r="P565" t="n">
        <v>0</v>
      </c>
      <c r="Q565" t="n">
        <v>0</v>
      </c>
      <c r="R565" s="2" t="inlineStr"/>
    </row>
    <row r="566" ht="15" customHeight="1">
      <c r="A566" t="inlineStr">
        <is>
          <t>A 26038-2025</t>
        </is>
      </c>
      <c r="B566" s="1" t="n">
        <v>45804</v>
      </c>
      <c r="C566" s="1" t="n">
        <v>45810</v>
      </c>
      <c r="D566" t="inlineStr">
        <is>
          <t>VÄSTERBOTTENS LÄN</t>
        </is>
      </c>
      <c r="E566" t="inlineStr">
        <is>
          <t>SORSELE</t>
        </is>
      </c>
      <c r="G566" t="n">
        <v>1.7</v>
      </c>
      <c r="H566" t="n">
        <v>0</v>
      </c>
      <c r="I566" t="n">
        <v>0</v>
      </c>
      <c r="J566" t="n">
        <v>0</v>
      </c>
      <c r="K566" t="n">
        <v>0</v>
      </c>
      <c r="L566" t="n">
        <v>0</v>
      </c>
      <c r="M566" t="n">
        <v>0</v>
      </c>
      <c r="N566" t="n">
        <v>0</v>
      </c>
      <c r="O566" t="n">
        <v>0</v>
      </c>
      <c r="P566" t="n">
        <v>0</v>
      </c>
      <c r="Q566" t="n">
        <v>0</v>
      </c>
      <c r="R566" s="2" t="inlineStr"/>
    </row>
    <row r="567">
      <c r="A567" t="inlineStr">
        <is>
          <t>A 26034-2025</t>
        </is>
      </c>
      <c r="B567" s="1" t="n">
        <v>45804</v>
      </c>
      <c r="C567" s="1" t="n">
        <v>45810</v>
      </c>
      <c r="D567" t="inlineStr">
        <is>
          <t>VÄSTERBOTTENS LÄN</t>
        </is>
      </c>
      <c r="E567" t="inlineStr">
        <is>
          <t>SORSELE</t>
        </is>
      </c>
      <c r="G567" t="n">
        <v>4.1</v>
      </c>
      <c r="H567" t="n">
        <v>0</v>
      </c>
      <c r="I567" t="n">
        <v>0</v>
      </c>
      <c r="J567" t="n">
        <v>0</v>
      </c>
      <c r="K567" t="n">
        <v>0</v>
      </c>
      <c r="L567" t="n">
        <v>0</v>
      </c>
      <c r="M567" t="n">
        <v>0</v>
      </c>
      <c r="N567" t="n">
        <v>0</v>
      </c>
      <c r="O567" t="n">
        <v>0</v>
      </c>
      <c r="P567" t="n">
        <v>0</v>
      </c>
      <c r="Q567" t="n">
        <v>0</v>
      </c>
      <c r="R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2025-06-02T17:51:45Z</dcterms:created>
  <dcterms:modified xmlns:dcterms="http://purl.org/dc/terms/" xmlns:xsi="http://www.w3.org/2001/XMLSchema-instance" xsi:type="dcterms:W3CDTF">2025-06-02T17:51:46Z</dcterms:modified>
</cp:coreProperties>
</file>