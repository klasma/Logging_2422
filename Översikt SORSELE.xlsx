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45742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45742</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45742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45742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45742</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45742</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45742</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45742</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45742</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45742</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45742</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45742</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45742</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45742</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45742</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45742</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45742</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45742</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45742</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45742</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45742</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45742</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45742</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45742</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45742</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45742</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45742</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45742</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45742</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45742</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45742</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45742</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45742</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45742</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45742</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45742</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45742</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45742</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45742</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45742</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45742</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45742</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45742</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45742</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45742</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45742</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45742</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45742</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45742</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45742</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45742</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45742</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45742</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45742</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49247-2024</t>
        </is>
      </c>
      <c r="B56" s="1" t="n">
        <v>45595</v>
      </c>
      <c r="C56" s="1" t="n">
        <v>45742</v>
      </c>
      <c r="D56" t="inlineStr">
        <is>
          <t>VÄSTERBOTTENS LÄN</t>
        </is>
      </c>
      <c r="E56" t="inlineStr">
        <is>
          <t>SORSELE</t>
        </is>
      </c>
      <c r="F56" t="inlineStr">
        <is>
          <t>Sveaskog</t>
        </is>
      </c>
      <c r="G56" t="n">
        <v>13.9</v>
      </c>
      <c r="H56" t="n">
        <v>0</v>
      </c>
      <c r="I56" t="n">
        <v>1</v>
      </c>
      <c r="J56" t="n">
        <v>0</v>
      </c>
      <c r="K56" t="n">
        <v>0</v>
      </c>
      <c r="L56" t="n">
        <v>0</v>
      </c>
      <c r="M56" t="n">
        <v>0</v>
      </c>
      <c r="N56" t="n">
        <v>0</v>
      </c>
      <c r="O56" t="n">
        <v>0</v>
      </c>
      <c r="P56" t="n">
        <v>0</v>
      </c>
      <c r="Q56" t="n">
        <v>1</v>
      </c>
      <c r="R56" s="2" t="inlineStr">
        <is>
          <t>Dropptaggsvamp</t>
        </is>
      </c>
      <c r="S56">
        <f>HYPERLINK("https://klasma.github.io/Logging_2422/artfynd/A 49247-2024 artfynd.xlsx", "A 49247-2024")</f>
        <v/>
      </c>
      <c r="T56">
        <f>HYPERLINK("https://klasma.github.io/Logging_2422/kartor/A 49247-2024 karta.png", "A 49247-2024")</f>
        <v/>
      </c>
      <c r="V56">
        <f>HYPERLINK("https://klasma.github.io/Logging_2422/klagomål/A 49247-2024 FSC-klagomål.docx", "A 49247-2024")</f>
        <v/>
      </c>
      <c r="W56">
        <f>HYPERLINK("https://klasma.github.io/Logging_2422/klagomålsmail/A 49247-2024 FSC-klagomål mail.docx", "A 49247-2024")</f>
        <v/>
      </c>
      <c r="X56">
        <f>HYPERLINK("https://klasma.github.io/Logging_2422/tillsyn/A 49247-2024 tillsynsbegäran.docx", "A 49247-2024")</f>
        <v/>
      </c>
      <c r="Y56">
        <f>HYPERLINK("https://klasma.github.io/Logging_2422/tillsynsmail/A 49247-2024 tillsynsbegäran mail.docx", "A 49247-2024")</f>
        <v/>
      </c>
    </row>
    <row r="57" ht="15" customHeight="1">
      <c r="A57" t="inlineStr">
        <is>
          <t>A 2985-2025</t>
        </is>
      </c>
      <c r="B57" s="1" t="n">
        <v>45678</v>
      </c>
      <c r="C57" s="1" t="n">
        <v>45742</v>
      </c>
      <c r="D57" t="inlineStr">
        <is>
          <t>VÄSTERBOTTENS LÄN</t>
        </is>
      </c>
      <c r="E57" t="inlineStr">
        <is>
          <t>SORSELE</t>
        </is>
      </c>
      <c r="F57" t="inlineStr">
        <is>
          <t>Övriga statliga verk och myndigheter</t>
        </is>
      </c>
      <c r="G57" t="n">
        <v>82.5</v>
      </c>
      <c r="H57" t="n">
        <v>1</v>
      </c>
      <c r="I57" t="n">
        <v>0</v>
      </c>
      <c r="J57" t="n">
        <v>1</v>
      </c>
      <c r="K57" t="n">
        <v>0</v>
      </c>
      <c r="L57" t="n">
        <v>0</v>
      </c>
      <c r="M57" t="n">
        <v>0</v>
      </c>
      <c r="N57" t="n">
        <v>0</v>
      </c>
      <c r="O57" t="n">
        <v>1</v>
      </c>
      <c r="P57" t="n">
        <v>0</v>
      </c>
      <c r="Q57" t="n">
        <v>1</v>
      </c>
      <c r="R57" s="2" t="inlineStr">
        <is>
          <t>Utter</t>
        </is>
      </c>
      <c r="S57">
        <f>HYPERLINK("https://klasma.github.io/Logging_2422/artfynd/A 2985-2025 artfynd.xlsx", "A 2985-2025")</f>
        <v/>
      </c>
      <c r="T57">
        <f>HYPERLINK("https://klasma.github.io/Logging_2422/kartor/A 2985-2025 karta.png", "A 2985-2025")</f>
        <v/>
      </c>
      <c r="V57">
        <f>HYPERLINK("https://klasma.github.io/Logging_2422/klagomål/A 2985-2025 FSC-klagomål.docx", "A 2985-2025")</f>
        <v/>
      </c>
      <c r="W57">
        <f>HYPERLINK("https://klasma.github.io/Logging_2422/klagomålsmail/A 2985-2025 FSC-klagomål mail.docx", "A 2985-2025")</f>
        <v/>
      </c>
      <c r="X57">
        <f>HYPERLINK("https://klasma.github.io/Logging_2422/tillsyn/A 2985-2025 tillsynsbegäran.docx", "A 2985-2025")</f>
        <v/>
      </c>
      <c r="Y57">
        <f>HYPERLINK("https://klasma.github.io/Logging_2422/tillsynsmail/A 2985-2025 tillsynsbegäran mail.docx", "A 2985-2025")</f>
        <v/>
      </c>
    </row>
    <row r="58" ht="15" customHeight="1">
      <c r="A58" t="inlineStr">
        <is>
          <t>A 25119-2019</t>
        </is>
      </c>
      <c r="B58" s="1" t="n">
        <v>43601</v>
      </c>
      <c r="C58" s="1" t="n">
        <v>45742</v>
      </c>
      <c r="D58" t="inlineStr">
        <is>
          <t>VÄSTERBOTTENS LÄN</t>
        </is>
      </c>
      <c r="E58" t="inlineStr">
        <is>
          <t>SORSELE</t>
        </is>
      </c>
      <c r="G58" t="n">
        <v>18</v>
      </c>
      <c r="H58" t="n">
        <v>0</v>
      </c>
      <c r="I58" t="n">
        <v>0</v>
      </c>
      <c r="J58" t="n">
        <v>0</v>
      </c>
      <c r="K58" t="n">
        <v>0</v>
      </c>
      <c r="L58" t="n">
        <v>0</v>
      </c>
      <c r="M58" t="n">
        <v>0</v>
      </c>
      <c r="N58" t="n">
        <v>0</v>
      </c>
      <c r="O58" t="n">
        <v>0</v>
      </c>
      <c r="P58" t="n">
        <v>0</v>
      </c>
      <c r="Q58" t="n">
        <v>0</v>
      </c>
      <c r="R58" s="2" t="inlineStr"/>
    </row>
    <row r="59" ht="15" customHeight="1">
      <c r="A59" t="inlineStr">
        <is>
          <t>A 25191-2019</t>
        </is>
      </c>
      <c r="B59" s="1" t="n">
        <v>43601</v>
      </c>
      <c r="C59" s="1" t="n">
        <v>45742</v>
      </c>
      <c r="D59" t="inlineStr">
        <is>
          <t>VÄSTERBOTTENS LÄN</t>
        </is>
      </c>
      <c r="E59" t="inlineStr">
        <is>
          <t>SORSELE</t>
        </is>
      </c>
      <c r="G59" t="n">
        <v>3.3</v>
      </c>
      <c r="H59" t="n">
        <v>0</v>
      </c>
      <c r="I59" t="n">
        <v>0</v>
      </c>
      <c r="J59" t="n">
        <v>0</v>
      </c>
      <c r="K59" t="n">
        <v>0</v>
      </c>
      <c r="L59" t="n">
        <v>0</v>
      </c>
      <c r="M59" t="n">
        <v>0</v>
      </c>
      <c r="N59" t="n">
        <v>0</v>
      </c>
      <c r="O59" t="n">
        <v>0</v>
      </c>
      <c r="P59" t="n">
        <v>0</v>
      </c>
      <c r="Q59" t="n">
        <v>0</v>
      </c>
      <c r="R59" s="2" t="inlineStr"/>
    </row>
    <row r="60" ht="15" customHeight="1">
      <c r="A60" t="inlineStr">
        <is>
          <t>A 25160-2019</t>
        </is>
      </c>
      <c r="B60" s="1" t="n">
        <v>43601</v>
      </c>
      <c r="C60" s="1" t="n">
        <v>45742</v>
      </c>
      <c r="D60" t="inlineStr">
        <is>
          <t>VÄSTERBOTTENS LÄN</t>
        </is>
      </c>
      <c r="E60" t="inlineStr">
        <is>
          <t>SORSELE</t>
        </is>
      </c>
      <c r="G60" t="n">
        <v>16.7</v>
      </c>
      <c r="H60" t="n">
        <v>0</v>
      </c>
      <c r="I60" t="n">
        <v>0</v>
      </c>
      <c r="J60" t="n">
        <v>0</v>
      </c>
      <c r="K60" t="n">
        <v>0</v>
      </c>
      <c r="L60" t="n">
        <v>0</v>
      </c>
      <c r="M60" t="n">
        <v>0</v>
      </c>
      <c r="N60" t="n">
        <v>0</v>
      </c>
      <c r="O60" t="n">
        <v>0</v>
      </c>
      <c r="P60" t="n">
        <v>0</v>
      </c>
      <c r="Q60" t="n">
        <v>0</v>
      </c>
      <c r="R60" s="2" t="inlineStr"/>
    </row>
    <row r="61" ht="15" customHeight="1">
      <c r="A61" t="inlineStr">
        <is>
          <t>A 25085-2019</t>
        </is>
      </c>
      <c r="B61" s="1" t="n">
        <v>43605</v>
      </c>
      <c r="C61" s="1" t="n">
        <v>45742</v>
      </c>
      <c r="D61" t="inlineStr">
        <is>
          <t>VÄSTERBOTTENS LÄN</t>
        </is>
      </c>
      <c r="E61" t="inlineStr">
        <is>
          <t>SORSELE</t>
        </is>
      </c>
      <c r="G61" t="n">
        <v>4.5</v>
      </c>
      <c r="H61" t="n">
        <v>0</v>
      </c>
      <c r="I61" t="n">
        <v>0</v>
      </c>
      <c r="J61" t="n">
        <v>0</v>
      </c>
      <c r="K61" t="n">
        <v>0</v>
      </c>
      <c r="L61" t="n">
        <v>0</v>
      </c>
      <c r="M61" t="n">
        <v>0</v>
      </c>
      <c r="N61" t="n">
        <v>0</v>
      </c>
      <c r="O61" t="n">
        <v>0</v>
      </c>
      <c r="P61" t="n">
        <v>0</v>
      </c>
      <c r="Q61" t="n">
        <v>0</v>
      </c>
      <c r="R61" s="2" t="inlineStr"/>
    </row>
    <row r="62" ht="15" customHeight="1">
      <c r="A62" t="inlineStr">
        <is>
          <t>A 25118-2019</t>
        </is>
      </c>
      <c r="B62" s="1" t="n">
        <v>43605</v>
      </c>
      <c r="C62" s="1" t="n">
        <v>45742</v>
      </c>
      <c r="D62" t="inlineStr">
        <is>
          <t>VÄSTERBOTTENS LÄN</t>
        </is>
      </c>
      <c r="E62" t="inlineStr">
        <is>
          <t>SORSELE</t>
        </is>
      </c>
      <c r="G62" t="n">
        <v>2.3</v>
      </c>
      <c r="H62" t="n">
        <v>0</v>
      </c>
      <c r="I62" t="n">
        <v>0</v>
      </c>
      <c r="J62" t="n">
        <v>0</v>
      </c>
      <c r="K62" t="n">
        <v>0</v>
      </c>
      <c r="L62" t="n">
        <v>0</v>
      </c>
      <c r="M62" t="n">
        <v>0</v>
      </c>
      <c r="N62" t="n">
        <v>0</v>
      </c>
      <c r="O62" t="n">
        <v>0</v>
      </c>
      <c r="P62" t="n">
        <v>0</v>
      </c>
      <c r="Q62" t="n">
        <v>0</v>
      </c>
      <c r="R62" s="2" t="inlineStr"/>
    </row>
    <row r="63" ht="15" customHeight="1">
      <c r="A63" t="inlineStr">
        <is>
          <t>A 25080-2019</t>
        </is>
      </c>
      <c r="B63" s="1" t="n">
        <v>43605</v>
      </c>
      <c r="C63" s="1" t="n">
        <v>45742</v>
      </c>
      <c r="D63" t="inlineStr">
        <is>
          <t>VÄSTERBOTTENS LÄN</t>
        </is>
      </c>
      <c r="E63" t="inlineStr">
        <is>
          <t>SORSELE</t>
        </is>
      </c>
      <c r="G63" t="n">
        <v>15.7</v>
      </c>
      <c r="H63" t="n">
        <v>0</v>
      </c>
      <c r="I63" t="n">
        <v>0</v>
      </c>
      <c r="J63" t="n">
        <v>0</v>
      </c>
      <c r="K63" t="n">
        <v>0</v>
      </c>
      <c r="L63" t="n">
        <v>0</v>
      </c>
      <c r="M63" t="n">
        <v>0</v>
      </c>
      <c r="N63" t="n">
        <v>0</v>
      </c>
      <c r="O63" t="n">
        <v>0</v>
      </c>
      <c r="P63" t="n">
        <v>0</v>
      </c>
      <c r="Q63" t="n">
        <v>0</v>
      </c>
      <c r="R63" s="2" t="inlineStr"/>
    </row>
    <row r="64" ht="15" customHeight="1">
      <c r="A64" t="inlineStr">
        <is>
          <t>A 25683-2019</t>
        </is>
      </c>
      <c r="B64" s="1" t="n">
        <v>43607</v>
      </c>
      <c r="C64" s="1" t="n">
        <v>45742</v>
      </c>
      <c r="D64" t="inlineStr">
        <is>
          <t>VÄSTERBOTTENS LÄN</t>
        </is>
      </c>
      <c r="E64" t="inlineStr">
        <is>
          <t>SORSELE</t>
        </is>
      </c>
      <c r="F64" t="inlineStr">
        <is>
          <t>Sveaskog</t>
        </is>
      </c>
      <c r="G64" t="n">
        <v>3.4</v>
      </c>
      <c r="H64" t="n">
        <v>0</v>
      </c>
      <c r="I64" t="n">
        <v>0</v>
      </c>
      <c r="J64" t="n">
        <v>0</v>
      </c>
      <c r="K64" t="n">
        <v>0</v>
      </c>
      <c r="L64" t="n">
        <v>0</v>
      </c>
      <c r="M64" t="n">
        <v>0</v>
      </c>
      <c r="N64" t="n">
        <v>0</v>
      </c>
      <c r="O64" t="n">
        <v>0</v>
      </c>
      <c r="P64" t="n">
        <v>0</v>
      </c>
      <c r="Q64" t="n">
        <v>0</v>
      </c>
      <c r="R64" s="2" t="inlineStr"/>
    </row>
    <row r="65" ht="15" customHeight="1">
      <c r="A65" t="inlineStr">
        <is>
          <t>A 28129-2019</t>
        </is>
      </c>
      <c r="B65" s="1" t="n">
        <v>43621</v>
      </c>
      <c r="C65" s="1" t="n">
        <v>45742</v>
      </c>
      <c r="D65" t="inlineStr">
        <is>
          <t>VÄSTERBOTTENS LÄN</t>
        </is>
      </c>
      <c r="E65" t="inlineStr">
        <is>
          <t>SORSELE</t>
        </is>
      </c>
      <c r="F65" t="inlineStr">
        <is>
          <t>Sveaskog</t>
        </is>
      </c>
      <c r="G65" t="n">
        <v>51.4</v>
      </c>
      <c r="H65" t="n">
        <v>0</v>
      </c>
      <c r="I65" t="n">
        <v>0</v>
      </c>
      <c r="J65" t="n">
        <v>0</v>
      </c>
      <c r="K65" t="n">
        <v>0</v>
      </c>
      <c r="L65" t="n">
        <v>0</v>
      </c>
      <c r="M65" t="n">
        <v>0</v>
      </c>
      <c r="N65" t="n">
        <v>0</v>
      </c>
      <c r="O65" t="n">
        <v>0</v>
      </c>
      <c r="P65" t="n">
        <v>0</v>
      </c>
      <c r="Q65" t="n">
        <v>0</v>
      </c>
      <c r="R65" s="2" t="inlineStr"/>
    </row>
    <row r="66" ht="15" customHeight="1">
      <c r="A66" t="inlineStr">
        <is>
          <t>A 28270-2019</t>
        </is>
      </c>
      <c r="B66" s="1" t="n">
        <v>43623</v>
      </c>
      <c r="C66" s="1" t="n">
        <v>45742</v>
      </c>
      <c r="D66" t="inlineStr">
        <is>
          <t>VÄSTERBOTTENS LÄN</t>
        </is>
      </c>
      <c r="E66" t="inlineStr">
        <is>
          <t>SORSELE</t>
        </is>
      </c>
      <c r="F66" t="inlineStr">
        <is>
          <t>Sveaskog</t>
        </is>
      </c>
      <c r="G66" t="n">
        <v>3.6</v>
      </c>
      <c r="H66" t="n">
        <v>0</v>
      </c>
      <c r="I66" t="n">
        <v>0</v>
      </c>
      <c r="J66" t="n">
        <v>0</v>
      </c>
      <c r="K66" t="n">
        <v>0</v>
      </c>
      <c r="L66" t="n">
        <v>0</v>
      </c>
      <c r="M66" t="n">
        <v>0</v>
      </c>
      <c r="N66" t="n">
        <v>0</v>
      </c>
      <c r="O66" t="n">
        <v>0</v>
      </c>
      <c r="P66" t="n">
        <v>0</v>
      </c>
      <c r="Q66" t="n">
        <v>0</v>
      </c>
      <c r="R66" s="2" t="inlineStr"/>
    </row>
    <row r="67" ht="15" customHeight="1">
      <c r="A67" t="inlineStr">
        <is>
          <t>A 36862-2019</t>
        </is>
      </c>
      <c r="B67" s="1" t="n">
        <v>43675</v>
      </c>
      <c r="C67" s="1" t="n">
        <v>45742</v>
      </c>
      <c r="D67" t="inlineStr">
        <is>
          <t>VÄSTERBOTTENS LÄN</t>
        </is>
      </c>
      <c r="E67" t="inlineStr">
        <is>
          <t>SORSELE</t>
        </is>
      </c>
      <c r="G67" t="n">
        <v>0.4</v>
      </c>
      <c r="H67" t="n">
        <v>0</v>
      </c>
      <c r="I67" t="n">
        <v>0</v>
      </c>
      <c r="J67" t="n">
        <v>0</v>
      </c>
      <c r="K67" t="n">
        <v>0</v>
      </c>
      <c r="L67" t="n">
        <v>0</v>
      </c>
      <c r="M67" t="n">
        <v>0</v>
      </c>
      <c r="N67" t="n">
        <v>0</v>
      </c>
      <c r="O67" t="n">
        <v>0</v>
      </c>
      <c r="P67" t="n">
        <v>0</v>
      </c>
      <c r="Q67" t="n">
        <v>0</v>
      </c>
      <c r="R67" s="2" t="inlineStr"/>
    </row>
    <row r="68" ht="15" customHeight="1">
      <c r="A68" t="inlineStr">
        <is>
          <t>A 37429-2019</t>
        </is>
      </c>
      <c r="B68" s="1" t="n">
        <v>43678</v>
      </c>
      <c r="C68" s="1" t="n">
        <v>45742</v>
      </c>
      <c r="D68" t="inlineStr">
        <is>
          <t>VÄSTERBOTTENS LÄN</t>
        </is>
      </c>
      <c r="E68" t="inlineStr">
        <is>
          <t>SORSELE</t>
        </is>
      </c>
      <c r="F68" t="inlineStr">
        <is>
          <t>SCA</t>
        </is>
      </c>
      <c r="G68" t="n">
        <v>3.7</v>
      </c>
      <c r="H68" t="n">
        <v>0</v>
      </c>
      <c r="I68" t="n">
        <v>0</v>
      </c>
      <c r="J68" t="n">
        <v>0</v>
      </c>
      <c r="K68" t="n">
        <v>0</v>
      </c>
      <c r="L68" t="n">
        <v>0</v>
      </c>
      <c r="M68" t="n">
        <v>0</v>
      </c>
      <c r="N68" t="n">
        <v>0</v>
      </c>
      <c r="O68" t="n">
        <v>0</v>
      </c>
      <c r="P68" t="n">
        <v>0</v>
      </c>
      <c r="Q68" t="n">
        <v>0</v>
      </c>
      <c r="R68" s="2" t="inlineStr"/>
    </row>
    <row r="69" ht="15" customHeight="1">
      <c r="A69" t="inlineStr">
        <is>
          <t>A 37576-2019</t>
        </is>
      </c>
      <c r="B69" s="1" t="n">
        <v>43679</v>
      </c>
      <c r="C69" s="1" t="n">
        <v>45742</v>
      </c>
      <c r="D69" t="inlineStr">
        <is>
          <t>VÄSTERBOTTENS LÄN</t>
        </is>
      </c>
      <c r="E69" t="inlineStr">
        <is>
          <t>SORSELE</t>
        </is>
      </c>
      <c r="F69" t="inlineStr">
        <is>
          <t>SCA</t>
        </is>
      </c>
      <c r="G69" t="n">
        <v>2.9</v>
      </c>
      <c r="H69" t="n">
        <v>0</v>
      </c>
      <c r="I69" t="n">
        <v>0</v>
      </c>
      <c r="J69" t="n">
        <v>0</v>
      </c>
      <c r="K69" t="n">
        <v>0</v>
      </c>
      <c r="L69" t="n">
        <v>0</v>
      </c>
      <c r="M69" t="n">
        <v>0</v>
      </c>
      <c r="N69" t="n">
        <v>0</v>
      </c>
      <c r="O69" t="n">
        <v>0</v>
      </c>
      <c r="P69" t="n">
        <v>0</v>
      </c>
      <c r="Q69" t="n">
        <v>0</v>
      </c>
      <c r="R69" s="2" t="inlineStr"/>
    </row>
    <row r="70" ht="15" customHeight="1">
      <c r="A70" t="inlineStr">
        <is>
          <t>A 41646-2019</t>
        </is>
      </c>
      <c r="B70" s="1" t="n">
        <v>43699</v>
      </c>
      <c r="C70" s="1" t="n">
        <v>45742</v>
      </c>
      <c r="D70" t="inlineStr">
        <is>
          <t>VÄSTERBOTTENS LÄN</t>
        </is>
      </c>
      <c r="E70" t="inlineStr">
        <is>
          <t>SORSELE</t>
        </is>
      </c>
      <c r="F70" t="inlineStr">
        <is>
          <t>Sveaskog</t>
        </is>
      </c>
      <c r="G70" t="n">
        <v>4.2</v>
      </c>
      <c r="H70" t="n">
        <v>0</v>
      </c>
      <c r="I70" t="n">
        <v>0</v>
      </c>
      <c r="J70" t="n">
        <v>0</v>
      </c>
      <c r="K70" t="n">
        <v>0</v>
      </c>
      <c r="L70" t="n">
        <v>0</v>
      </c>
      <c r="M70" t="n">
        <v>0</v>
      </c>
      <c r="N70" t="n">
        <v>0</v>
      </c>
      <c r="O70" t="n">
        <v>0</v>
      </c>
      <c r="P70" t="n">
        <v>0</v>
      </c>
      <c r="Q70" t="n">
        <v>0</v>
      </c>
      <c r="R70" s="2" t="inlineStr"/>
    </row>
    <row r="71" ht="15" customHeight="1">
      <c r="A71" t="inlineStr">
        <is>
          <t>A 42535-2019</t>
        </is>
      </c>
      <c r="B71" s="1" t="n">
        <v>43699</v>
      </c>
      <c r="C71" s="1" t="n">
        <v>45742</v>
      </c>
      <c r="D71" t="inlineStr">
        <is>
          <t>VÄSTERBOTTENS LÄN</t>
        </is>
      </c>
      <c r="E71" t="inlineStr">
        <is>
          <t>SORSELE</t>
        </is>
      </c>
      <c r="G71" t="n">
        <v>3.2</v>
      </c>
      <c r="H71" t="n">
        <v>0</v>
      </c>
      <c r="I71" t="n">
        <v>0</v>
      </c>
      <c r="J71" t="n">
        <v>0</v>
      </c>
      <c r="K71" t="n">
        <v>0</v>
      </c>
      <c r="L71" t="n">
        <v>0</v>
      </c>
      <c r="M71" t="n">
        <v>0</v>
      </c>
      <c r="N71" t="n">
        <v>0</v>
      </c>
      <c r="O71" t="n">
        <v>0</v>
      </c>
      <c r="P71" t="n">
        <v>0</v>
      </c>
      <c r="Q71" t="n">
        <v>0</v>
      </c>
      <c r="R71" s="2" t="inlineStr"/>
    </row>
    <row r="72" ht="15" customHeight="1">
      <c r="A72" t="inlineStr">
        <is>
          <t>A 45017-2019</t>
        </is>
      </c>
      <c r="B72" s="1" t="n">
        <v>43699</v>
      </c>
      <c r="C72" s="1" t="n">
        <v>45742</v>
      </c>
      <c r="D72" t="inlineStr">
        <is>
          <t>VÄSTERBOTTENS LÄN</t>
        </is>
      </c>
      <c r="E72" t="inlineStr">
        <is>
          <t>SORSELE</t>
        </is>
      </c>
      <c r="G72" t="n">
        <v>2.7</v>
      </c>
      <c r="H72" t="n">
        <v>0</v>
      </c>
      <c r="I72" t="n">
        <v>0</v>
      </c>
      <c r="J72" t="n">
        <v>0</v>
      </c>
      <c r="K72" t="n">
        <v>0</v>
      </c>
      <c r="L72" t="n">
        <v>0</v>
      </c>
      <c r="M72" t="n">
        <v>0</v>
      </c>
      <c r="N72" t="n">
        <v>0</v>
      </c>
      <c r="O72" t="n">
        <v>0</v>
      </c>
      <c r="P72" t="n">
        <v>0</v>
      </c>
      <c r="Q72" t="n">
        <v>0</v>
      </c>
      <c r="R72" s="2" t="inlineStr"/>
    </row>
    <row r="73" ht="15" customHeight="1">
      <c r="A73" t="inlineStr">
        <is>
          <t>A 43005-2019</t>
        </is>
      </c>
      <c r="B73" s="1" t="n">
        <v>43702</v>
      </c>
      <c r="C73" s="1" t="n">
        <v>45742</v>
      </c>
      <c r="D73" t="inlineStr">
        <is>
          <t>VÄSTERBOTTENS LÄN</t>
        </is>
      </c>
      <c r="E73" t="inlineStr">
        <is>
          <t>SORSELE</t>
        </is>
      </c>
      <c r="G73" t="n">
        <v>4.6</v>
      </c>
      <c r="H73" t="n">
        <v>0</v>
      </c>
      <c r="I73" t="n">
        <v>0</v>
      </c>
      <c r="J73" t="n">
        <v>0</v>
      </c>
      <c r="K73" t="n">
        <v>0</v>
      </c>
      <c r="L73" t="n">
        <v>0</v>
      </c>
      <c r="M73" t="n">
        <v>0</v>
      </c>
      <c r="N73" t="n">
        <v>0</v>
      </c>
      <c r="O73" t="n">
        <v>0</v>
      </c>
      <c r="P73" t="n">
        <v>0</v>
      </c>
      <c r="Q73" t="n">
        <v>0</v>
      </c>
      <c r="R73" s="2" t="inlineStr"/>
    </row>
    <row r="74" ht="15" customHeight="1">
      <c r="A74" t="inlineStr">
        <is>
          <t>A 44443-2019</t>
        </is>
      </c>
      <c r="B74" s="1" t="n">
        <v>43705</v>
      </c>
      <c r="C74" s="1" t="n">
        <v>45742</v>
      </c>
      <c r="D74" t="inlineStr">
        <is>
          <t>VÄSTERBOTTENS LÄN</t>
        </is>
      </c>
      <c r="E74" t="inlineStr">
        <is>
          <t>SORSELE</t>
        </is>
      </c>
      <c r="G74" t="n">
        <v>2.2</v>
      </c>
      <c r="H74" t="n">
        <v>0</v>
      </c>
      <c r="I74" t="n">
        <v>0</v>
      </c>
      <c r="J74" t="n">
        <v>0</v>
      </c>
      <c r="K74" t="n">
        <v>0</v>
      </c>
      <c r="L74" t="n">
        <v>0</v>
      </c>
      <c r="M74" t="n">
        <v>0</v>
      </c>
      <c r="N74" t="n">
        <v>0</v>
      </c>
      <c r="O74" t="n">
        <v>0</v>
      </c>
      <c r="P74" t="n">
        <v>0</v>
      </c>
      <c r="Q74" t="n">
        <v>0</v>
      </c>
      <c r="R74" s="2" t="inlineStr"/>
    </row>
    <row r="75" ht="15" customHeight="1">
      <c r="A75" t="inlineStr">
        <is>
          <t>A 47000-2019</t>
        </is>
      </c>
      <c r="B75" s="1" t="n">
        <v>43719</v>
      </c>
      <c r="C75" s="1" t="n">
        <v>45742</v>
      </c>
      <c r="D75" t="inlineStr">
        <is>
          <t>VÄSTERBOTTENS LÄN</t>
        </is>
      </c>
      <c r="E75" t="inlineStr">
        <is>
          <t>SORSELE</t>
        </is>
      </c>
      <c r="G75" t="n">
        <v>2.3</v>
      </c>
      <c r="H75" t="n">
        <v>0</v>
      </c>
      <c r="I75" t="n">
        <v>0</v>
      </c>
      <c r="J75" t="n">
        <v>0</v>
      </c>
      <c r="K75" t="n">
        <v>0</v>
      </c>
      <c r="L75" t="n">
        <v>0</v>
      </c>
      <c r="M75" t="n">
        <v>0</v>
      </c>
      <c r="N75" t="n">
        <v>0</v>
      </c>
      <c r="O75" t="n">
        <v>0</v>
      </c>
      <c r="P75" t="n">
        <v>0</v>
      </c>
      <c r="Q75" t="n">
        <v>0</v>
      </c>
      <c r="R75" s="2" t="inlineStr"/>
    </row>
    <row r="76" ht="15" customHeight="1">
      <c r="A76" t="inlineStr">
        <is>
          <t>A 47015-2019</t>
        </is>
      </c>
      <c r="B76" s="1" t="n">
        <v>43719</v>
      </c>
      <c r="C76" s="1" t="n">
        <v>45742</v>
      </c>
      <c r="D76" t="inlineStr">
        <is>
          <t>VÄSTERBOTTENS LÄN</t>
        </is>
      </c>
      <c r="E76" t="inlineStr">
        <is>
          <t>SORSELE</t>
        </is>
      </c>
      <c r="G76" t="n">
        <v>4.3</v>
      </c>
      <c r="H76" t="n">
        <v>0</v>
      </c>
      <c r="I76" t="n">
        <v>0</v>
      </c>
      <c r="J76" t="n">
        <v>0</v>
      </c>
      <c r="K76" t="n">
        <v>0</v>
      </c>
      <c r="L76" t="n">
        <v>0</v>
      </c>
      <c r="M76" t="n">
        <v>0</v>
      </c>
      <c r="N76" t="n">
        <v>0</v>
      </c>
      <c r="O76" t="n">
        <v>0</v>
      </c>
      <c r="P76" t="n">
        <v>0</v>
      </c>
      <c r="Q76" t="n">
        <v>0</v>
      </c>
      <c r="R76" s="2" t="inlineStr"/>
    </row>
    <row r="77" ht="15" customHeight="1">
      <c r="A77" t="inlineStr">
        <is>
          <t>A 52699-2019</t>
        </is>
      </c>
      <c r="B77" s="1" t="n">
        <v>43738</v>
      </c>
      <c r="C77" s="1" t="n">
        <v>45742</v>
      </c>
      <c r="D77" t="inlineStr">
        <is>
          <t>VÄSTERBOTTENS LÄN</t>
        </is>
      </c>
      <c r="E77" t="inlineStr">
        <is>
          <t>SORSELE</t>
        </is>
      </c>
      <c r="F77" t="inlineStr">
        <is>
          <t>Övriga statliga verk och myndigheter</t>
        </is>
      </c>
      <c r="G77" t="n">
        <v>2</v>
      </c>
      <c r="H77" t="n">
        <v>0</v>
      </c>
      <c r="I77" t="n">
        <v>0</v>
      </c>
      <c r="J77" t="n">
        <v>0</v>
      </c>
      <c r="K77" t="n">
        <v>0</v>
      </c>
      <c r="L77" t="n">
        <v>0</v>
      </c>
      <c r="M77" t="n">
        <v>0</v>
      </c>
      <c r="N77" t="n">
        <v>0</v>
      </c>
      <c r="O77" t="n">
        <v>0</v>
      </c>
      <c r="P77" t="n">
        <v>0</v>
      </c>
      <c r="Q77" t="n">
        <v>0</v>
      </c>
      <c r="R77" s="2" t="inlineStr"/>
    </row>
    <row r="78" ht="15" customHeight="1">
      <c r="A78" t="inlineStr">
        <is>
          <t>A 52690-2019</t>
        </is>
      </c>
      <c r="B78" s="1" t="n">
        <v>43738</v>
      </c>
      <c r="C78" s="1" t="n">
        <v>45742</v>
      </c>
      <c r="D78" t="inlineStr">
        <is>
          <t>VÄSTERBOTTENS LÄN</t>
        </is>
      </c>
      <c r="E78" t="inlineStr">
        <is>
          <t>SORSELE</t>
        </is>
      </c>
      <c r="F78" t="inlineStr">
        <is>
          <t>Övriga statliga verk och myndigheter</t>
        </is>
      </c>
      <c r="G78" t="n">
        <v>4.3</v>
      </c>
      <c r="H78" t="n">
        <v>0</v>
      </c>
      <c r="I78" t="n">
        <v>0</v>
      </c>
      <c r="J78" t="n">
        <v>0</v>
      </c>
      <c r="K78" t="n">
        <v>0</v>
      </c>
      <c r="L78" t="n">
        <v>0</v>
      </c>
      <c r="M78" t="n">
        <v>0</v>
      </c>
      <c r="N78" t="n">
        <v>0</v>
      </c>
      <c r="O78" t="n">
        <v>0</v>
      </c>
      <c r="P78" t="n">
        <v>0</v>
      </c>
      <c r="Q78" t="n">
        <v>0</v>
      </c>
      <c r="R78" s="2" t="inlineStr"/>
    </row>
    <row r="79" ht="15" customHeight="1">
      <c r="A79" t="inlineStr">
        <is>
          <t>A 52679-2019</t>
        </is>
      </c>
      <c r="B79" s="1" t="n">
        <v>43738</v>
      </c>
      <c r="C79" s="1" t="n">
        <v>45742</v>
      </c>
      <c r="D79" t="inlineStr">
        <is>
          <t>VÄSTERBOTTENS LÄN</t>
        </is>
      </c>
      <c r="E79" t="inlineStr">
        <is>
          <t>SORSELE</t>
        </is>
      </c>
      <c r="F79" t="inlineStr">
        <is>
          <t>Övriga statliga verk och myndigheter</t>
        </is>
      </c>
      <c r="G79" t="n">
        <v>2.4</v>
      </c>
      <c r="H79" t="n">
        <v>0</v>
      </c>
      <c r="I79" t="n">
        <v>0</v>
      </c>
      <c r="J79" t="n">
        <v>0</v>
      </c>
      <c r="K79" t="n">
        <v>0</v>
      </c>
      <c r="L79" t="n">
        <v>0</v>
      </c>
      <c r="M79" t="n">
        <v>0</v>
      </c>
      <c r="N79" t="n">
        <v>0</v>
      </c>
      <c r="O79" t="n">
        <v>0</v>
      </c>
      <c r="P79" t="n">
        <v>0</v>
      </c>
      <c r="Q79" t="n">
        <v>0</v>
      </c>
      <c r="R79" s="2" t="inlineStr"/>
    </row>
    <row r="80" ht="15" customHeight="1">
      <c r="A80" t="inlineStr">
        <is>
          <t>A 55102-2019</t>
        </is>
      </c>
      <c r="B80" s="1" t="n">
        <v>43752</v>
      </c>
      <c r="C80" s="1" t="n">
        <v>45742</v>
      </c>
      <c r="D80" t="inlineStr">
        <is>
          <t>VÄSTERBOTTENS LÄN</t>
        </is>
      </c>
      <c r="E80" t="inlineStr">
        <is>
          <t>SORSELE</t>
        </is>
      </c>
      <c r="G80" t="n">
        <v>5.6</v>
      </c>
      <c r="H80" t="n">
        <v>0</v>
      </c>
      <c r="I80" t="n">
        <v>0</v>
      </c>
      <c r="J80" t="n">
        <v>0</v>
      </c>
      <c r="K80" t="n">
        <v>0</v>
      </c>
      <c r="L80" t="n">
        <v>0</v>
      </c>
      <c r="M80" t="n">
        <v>0</v>
      </c>
      <c r="N80" t="n">
        <v>0</v>
      </c>
      <c r="O80" t="n">
        <v>0</v>
      </c>
      <c r="P80" t="n">
        <v>0</v>
      </c>
      <c r="Q80" t="n">
        <v>0</v>
      </c>
      <c r="R80" s="2" t="inlineStr"/>
    </row>
    <row r="81" ht="15" customHeight="1">
      <c r="A81" t="inlineStr">
        <is>
          <t>A 55240-2019</t>
        </is>
      </c>
      <c r="B81" s="1" t="n">
        <v>43754</v>
      </c>
      <c r="C81" s="1" t="n">
        <v>45742</v>
      </c>
      <c r="D81" t="inlineStr">
        <is>
          <t>VÄSTERBOTTENS LÄN</t>
        </is>
      </c>
      <c r="E81" t="inlineStr">
        <is>
          <t>SORSELE</t>
        </is>
      </c>
      <c r="G81" t="n">
        <v>13.5</v>
      </c>
      <c r="H81" t="n">
        <v>0</v>
      </c>
      <c r="I81" t="n">
        <v>0</v>
      </c>
      <c r="J81" t="n">
        <v>0</v>
      </c>
      <c r="K81" t="n">
        <v>0</v>
      </c>
      <c r="L81" t="n">
        <v>0</v>
      </c>
      <c r="M81" t="n">
        <v>0</v>
      </c>
      <c r="N81" t="n">
        <v>0</v>
      </c>
      <c r="O81" t="n">
        <v>0</v>
      </c>
      <c r="P81" t="n">
        <v>0</v>
      </c>
      <c r="Q81" t="n">
        <v>0</v>
      </c>
      <c r="R81" s="2" t="inlineStr"/>
    </row>
    <row r="82" ht="15" customHeight="1">
      <c r="A82" t="inlineStr">
        <is>
          <t>A 55424-2019</t>
        </is>
      </c>
      <c r="B82" s="1" t="n">
        <v>43758</v>
      </c>
      <c r="C82" s="1" t="n">
        <v>45742</v>
      </c>
      <c r="D82" t="inlineStr">
        <is>
          <t>VÄSTERBOTTENS LÄN</t>
        </is>
      </c>
      <c r="E82" t="inlineStr">
        <is>
          <t>SORSELE</t>
        </is>
      </c>
      <c r="G82" t="n">
        <v>15.5</v>
      </c>
      <c r="H82" t="n">
        <v>0</v>
      </c>
      <c r="I82" t="n">
        <v>0</v>
      </c>
      <c r="J82" t="n">
        <v>0</v>
      </c>
      <c r="K82" t="n">
        <v>0</v>
      </c>
      <c r="L82" t="n">
        <v>0</v>
      </c>
      <c r="M82" t="n">
        <v>0</v>
      </c>
      <c r="N82" t="n">
        <v>0</v>
      </c>
      <c r="O82" t="n">
        <v>0</v>
      </c>
      <c r="P82" t="n">
        <v>0</v>
      </c>
      <c r="Q82" t="n">
        <v>0</v>
      </c>
      <c r="R82" s="2" t="inlineStr"/>
    </row>
    <row r="83" ht="15" customHeight="1">
      <c r="A83" t="inlineStr">
        <is>
          <t>A 57974-2019</t>
        </is>
      </c>
      <c r="B83" s="1" t="n">
        <v>43762</v>
      </c>
      <c r="C83" s="1" t="n">
        <v>45742</v>
      </c>
      <c r="D83" t="inlineStr">
        <is>
          <t>VÄSTERBOTTENS LÄN</t>
        </is>
      </c>
      <c r="E83" t="inlineStr">
        <is>
          <t>SORSELE</t>
        </is>
      </c>
      <c r="G83" t="n">
        <v>1</v>
      </c>
      <c r="H83" t="n">
        <v>0</v>
      </c>
      <c r="I83" t="n">
        <v>0</v>
      </c>
      <c r="J83" t="n">
        <v>0</v>
      </c>
      <c r="K83" t="n">
        <v>0</v>
      </c>
      <c r="L83" t="n">
        <v>0</v>
      </c>
      <c r="M83" t="n">
        <v>0</v>
      </c>
      <c r="N83" t="n">
        <v>0</v>
      </c>
      <c r="O83" t="n">
        <v>0</v>
      </c>
      <c r="P83" t="n">
        <v>0</v>
      </c>
      <c r="Q83" t="n">
        <v>0</v>
      </c>
      <c r="R83" s="2" t="inlineStr"/>
    </row>
    <row r="84" ht="15" customHeight="1">
      <c r="A84" t="inlineStr">
        <is>
          <t>A 58561-2019</t>
        </is>
      </c>
      <c r="B84" s="1" t="n">
        <v>43766</v>
      </c>
      <c r="C84" s="1" t="n">
        <v>45742</v>
      </c>
      <c r="D84" t="inlineStr">
        <is>
          <t>VÄSTERBOTTENS LÄN</t>
        </is>
      </c>
      <c r="E84" t="inlineStr">
        <is>
          <t>SORSELE</t>
        </is>
      </c>
      <c r="G84" t="n">
        <v>12.3</v>
      </c>
      <c r="H84" t="n">
        <v>0</v>
      </c>
      <c r="I84" t="n">
        <v>0</v>
      </c>
      <c r="J84" t="n">
        <v>0</v>
      </c>
      <c r="K84" t="n">
        <v>0</v>
      </c>
      <c r="L84" t="n">
        <v>0</v>
      </c>
      <c r="M84" t="n">
        <v>0</v>
      </c>
      <c r="N84" t="n">
        <v>0</v>
      </c>
      <c r="O84" t="n">
        <v>0</v>
      </c>
      <c r="P84" t="n">
        <v>0</v>
      </c>
      <c r="Q84" t="n">
        <v>0</v>
      </c>
      <c r="R84" s="2" t="inlineStr"/>
    </row>
    <row r="85" ht="15" customHeight="1">
      <c r="A85" t="inlineStr">
        <is>
          <t>A 58568-2019</t>
        </is>
      </c>
      <c r="B85" s="1" t="n">
        <v>43766</v>
      </c>
      <c r="C85" s="1" t="n">
        <v>45742</v>
      </c>
      <c r="D85" t="inlineStr">
        <is>
          <t>VÄSTERBOTTENS LÄN</t>
        </is>
      </c>
      <c r="E85" t="inlineStr">
        <is>
          <t>SORSELE</t>
        </is>
      </c>
      <c r="G85" t="n">
        <v>2.4</v>
      </c>
      <c r="H85" t="n">
        <v>0</v>
      </c>
      <c r="I85" t="n">
        <v>0</v>
      </c>
      <c r="J85" t="n">
        <v>0</v>
      </c>
      <c r="K85" t="n">
        <v>0</v>
      </c>
      <c r="L85" t="n">
        <v>0</v>
      </c>
      <c r="M85" t="n">
        <v>0</v>
      </c>
      <c r="N85" t="n">
        <v>0</v>
      </c>
      <c r="O85" t="n">
        <v>0</v>
      </c>
      <c r="P85" t="n">
        <v>0</v>
      </c>
      <c r="Q85" t="n">
        <v>0</v>
      </c>
      <c r="R85" s="2" t="inlineStr"/>
    </row>
    <row r="86" ht="15" customHeight="1">
      <c r="A86" t="inlineStr">
        <is>
          <t>A 58511-2019</t>
        </is>
      </c>
      <c r="B86" s="1" t="n">
        <v>43773</v>
      </c>
      <c r="C86" s="1" t="n">
        <v>45742</v>
      </c>
      <c r="D86" t="inlineStr">
        <is>
          <t>VÄSTERBOTTENS LÄN</t>
        </is>
      </c>
      <c r="E86" t="inlineStr">
        <is>
          <t>SORSELE</t>
        </is>
      </c>
      <c r="F86" t="inlineStr">
        <is>
          <t>Sveaskog</t>
        </is>
      </c>
      <c r="G86" t="n">
        <v>6.3</v>
      </c>
      <c r="H86" t="n">
        <v>0</v>
      </c>
      <c r="I86" t="n">
        <v>0</v>
      </c>
      <c r="J86" t="n">
        <v>0</v>
      </c>
      <c r="K86" t="n">
        <v>0</v>
      </c>
      <c r="L86" t="n">
        <v>0</v>
      </c>
      <c r="M86" t="n">
        <v>0</v>
      </c>
      <c r="N86" t="n">
        <v>0</v>
      </c>
      <c r="O86" t="n">
        <v>0</v>
      </c>
      <c r="P86" t="n">
        <v>0</v>
      </c>
      <c r="Q86" t="n">
        <v>0</v>
      </c>
      <c r="R86" s="2" t="inlineStr"/>
    </row>
    <row r="87" ht="15" customHeight="1">
      <c r="A87" t="inlineStr">
        <is>
          <t>A 58580-2019</t>
        </is>
      </c>
      <c r="B87" s="1" t="n">
        <v>43773</v>
      </c>
      <c r="C87" s="1" t="n">
        <v>45742</v>
      </c>
      <c r="D87" t="inlineStr">
        <is>
          <t>VÄSTERBOTTENS LÄN</t>
        </is>
      </c>
      <c r="E87" t="inlineStr">
        <is>
          <t>SORSELE</t>
        </is>
      </c>
      <c r="F87" t="inlineStr">
        <is>
          <t>Sveaskog</t>
        </is>
      </c>
      <c r="G87" t="n">
        <v>8.6</v>
      </c>
      <c r="H87" t="n">
        <v>0</v>
      </c>
      <c r="I87" t="n">
        <v>0</v>
      </c>
      <c r="J87" t="n">
        <v>0</v>
      </c>
      <c r="K87" t="n">
        <v>0</v>
      </c>
      <c r="L87" t="n">
        <v>0</v>
      </c>
      <c r="M87" t="n">
        <v>0</v>
      </c>
      <c r="N87" t="n">
        <v>0</v>
      </c>
      <c r="O87" t="n">
        <v>0</v>
      </c>
      <c r="P87" t="n">
        <v>0</v>
      </c>
      <c r="Q87" t="n">
        <v>0</v>
      </c>
      <c r="R87" s="2" t="inlineStr"/>
    </row>
    <row r="88" ht="15" customHeight="1">
      <c r="A88" t="inlineStr">
        <is>
          <t>A 64692-2019</t>
        </is>
      </c>
      <c r="B88" s="1" t="n">
        <v>43794</v>
      </c>
      <c r="C88" s="1" t="n">
        <v>45742</v>
      </c>
      <c r="D88" t="inlineStr">
        <is>
          <t>VÄSTERBOTTENS LÄN</t>
        </is>
      </c>
      <c r="E88" t="inlineStr">
        <is>
          <t>SORSELE</t>
        </is>
      </c>
      <c r="G88" t="n">
        <v>5.6</v>
      </c>
      <c r="H88" t="n">
        <v>0</v>
      </c>
      <c r="I88" t="n">
        <v>0</v>
      </c>
      <c r="J88" t="n">
        <v>0</v>
      </c>
      <c r="K88" t="n">
        <v>0</v>
      </c>
      <c r="L88" t="n">
        <v>0</v>
      </c>
      <c r="M88" t="n">
        <v>0</v>
      </c>
      <c r="N88" t="n">
        <v>0</v>
      </c>
      <c r="O88" t="n">
        <v>0</v>
      </c>
      <c r="P88" t="n">
        <v>0</v>
      </c>
      <c r="Q88" t="n">
        <v>0</v>
      </c>
      <c r="R88" s="2" t="inlineStr"/>
    </row>
    <row r="89" ht="15" customHeight="1">
      <c r="A89" t="inlineStr">
        <is>
          <t>A 67298-2019</t>
        </is>
      </c>
      <c r="B89" s="1" t="n">
        <v>43811</v>
      </c>
      <c r="C89" s="1" t="n">
        <v>45742</v>
      </c>
      <c r="D89" t="inlineStr">
        <is>
          <t>VÄSTERBOTTENS LÄN</t>
        </is>
      </c>
      <c r="E89" t="inlineStr">
        <is>
          <t>SORSELE</t>
        </is>
      </c>
      <c r="G89" t="n">
        <v>3.4</v>
      </c>
      <c r="H89" t="n">
        <v>0</v>
      </c>
      <c r="I89" t="n">
        <v>0</v>
      </c>
      <c r="J89" t="n">
        <v>0</v>
      </c>
      <c r="K89" t="n">
        <v>0</v>
      </c>
      <c r="L89" t="n">
        <v>0</v>
      </c>
      <c r="M89" t="n">
        <v>0</v>
      </c>
      <c r="N89" t="n">
        <v>0</v>
      </c>
      <c r="O89" t="n">
        <v>0</v>
      </c>
      <c r="P89" t="n">
        <v>0</v>
      </c>
      <c r="Q89" t="n">
        <v>0</v>
      </c>
      <c r="R89" s="2" t="inlineStr"/>
    </row>
    <row r="90" ht="15" customHeight="1">
      <c r="A90" t="inlineStr">
        <is>
          <t>A 10-2020</t>
        </is>
      </c>
      <c r="B90" s="1" t="n">
        <v>43831</v>
      </c>
      <c r="C90" s="1" t="n">
        <v>45742</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45742</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45742</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45742</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45742</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45742</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45742</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45742</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45742</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45742</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45742</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45742</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45742</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45742</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45742</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45742</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45742</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45742</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45742</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45742</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45742</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45742</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45742</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45742</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45742</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45742</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45742</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45742</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45742</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45742</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45742</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45742</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45742</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45742</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45742</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45742</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45742</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45742</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45742</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45742</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45742</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45742</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45742</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45742</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45742</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45742</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45742</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45742</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45742</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45742</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45742</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45742</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45742</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45742</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45742</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45742</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45742</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45742</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45742</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45742</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45742</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45742</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45742</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45742</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45742</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45742</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45742</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45742</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45742</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45742</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45742</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45742</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45742</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45742</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45742</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45742</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45742</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45742</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45742</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45742</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45742</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45742</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45742</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45742</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45742</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45742</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45742</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45742</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45742</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45742</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45742</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45742</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45742</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45742</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45742</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45742</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45742</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45742</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45742</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45742</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45742</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45742</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45742</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45742</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45742</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45742</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45742</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45742</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45742</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45742</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45742</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45742</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45742</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45742</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45742</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45742</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45742</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45742</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45742</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45742</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45742</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45742</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45742</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45742</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45742</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45742</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45742</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45742</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45742</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45742</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45742</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45742</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45742</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45742</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45742</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45742</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45742</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45742</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45742</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45742</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45742</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45742</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45742</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45742</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45742</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45742</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45742</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45742</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45742</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45742</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45742</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45742</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45742</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45742</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45742</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45742</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45742</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45742</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45742</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45742</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45742</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45742</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45742</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45742</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45742</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45742</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45742</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45742</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45742</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45742</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45742</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45742</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45742</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45742</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45742</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45742</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45742</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45742</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45742</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45742</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45742</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45742</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45742</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45742</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45742</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45742</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45742</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45742</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45742</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45742</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45742</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45742</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45742</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45742</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45742</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45742</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45742</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45742</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45742</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45742</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45742</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45742</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45742</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45742</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45742</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45742</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45742</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45742</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45742</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45742</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45742</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45742</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45742</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45742</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45742</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45742</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45742</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45742</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45742</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45742</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45742</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45742</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45742</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45742</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45742</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45742</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45742</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45742</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45742</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45742</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45742</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45742</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45742</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45742</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45742</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45742</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45742</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45742</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45742</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45742</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45742</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45742</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45742</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45742</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45742</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45742</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45742</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45742</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45742</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45742</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45742</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45742</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45742</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45742</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45742</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45742</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45742</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45742</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45742</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45742</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45742</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45742</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45742</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45742</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45742</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45742</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45742</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45742</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45742</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45742</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45742</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45742</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45742</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45742</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45742</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45742</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45742</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45742</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45742</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45742</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45742</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45742</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45742</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45742</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45742</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45742</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45742</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45742</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45742</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45742</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45742</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45742</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45742</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45742</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45742</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45742</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45742</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45742</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45742</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45742</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45742</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45742</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45742</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45742</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45742</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45742</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45742</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45742</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45742</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45742</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45742</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45742</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45742</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45742</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45742</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45742</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45742</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45742</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45742</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45742</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45742</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45742</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45742</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45742</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45742</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45742</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45742</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45742</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45742</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45742</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45742</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45742</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45742</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45742</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45742</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45742</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45742</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45742</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45742</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45742</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45742</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45742</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45742</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45742</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45742</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45742</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45742</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45742</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45742</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45742</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45742</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45742</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45742</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45742</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45742</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45742</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45742</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45742</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45742</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45742</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45742</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45742</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45742</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45742</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45742</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45742</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45742</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45742</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45742</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45742</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45742</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45742</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45742</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45742</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45742</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45742</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45742</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45742</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45742</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45742</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45742</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45742</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45742</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45742</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45742</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45742</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45742</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45742</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45742</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45742</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45742</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45742</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45742</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45742</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45742</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45742</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45742</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45742</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45742</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45742</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45742</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45742</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45742</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45742</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45742</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45742</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45742</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45742</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45742</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45742</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45742</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45742</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45742</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45742</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45742</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45742</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45742</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45742</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45742</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45742</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45742</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45742</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45742</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45742</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45742</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45742</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45742</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45742</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45742</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45742</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45742</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45742</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45742</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45742</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45742</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45742</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45742</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45742</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8978-2025</t>
        </is>
      </c>
      <c r="B528" s="1" t="n">
        <v>45713</v>
      </c>
      <c r="C528" s="1" t="n">
        <v>45742</v>
      </c>
      <c r="D528" t="inlineStr">
        <is>
          <t>VÄSTERBOTTENS LÄN</t>
        </is>
      </c>
      <c r="E528" t="inlineStr">
        <is>
          <t>SORSELE</t>
        </is>
      </c>
      <c r="G528" t="n">
        <v>1.2</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45742</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9073-2025</t>
        </is>
      </c>
      <c r="B530" s="1" t="n">
        <v>45713</v>
      </c>
      <c r="C530" s="1" t="n">
        <v>45742</v>
      </c>
      <c r="D530" t="inlineStr">
        <is>
          <t>VÄSTERBOTTENS LÄN</t>
        </is>
      </c>
      <c r="E530" t="inlineStr">
        <is>
          <t>SORSELE</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8989-2025</t>
        </is>
      </c>
      <c r="B531" s="1" t="n">
        <v>45713</v>
      </c>
      <c r="C531" s="1" t="n">
        <v>45742</v>
      </c>
      <c r="D531" t="inlineStr">
        <is>
          <t>VÄSTERBOTTENS LÄN</t>
        </is>
      </c>
      <c r="E531" t="inlineStr">
        <is>
          <t>SORSELE</t>
        </is>
      </c>
      <c r="G531" t="n">
        <v>5.4</v>
      </c>
      <c r="H531" t="n">
        <v>0</v>
      </c>
      <c r="I531" t="n">
        <v>0</v>
      </c>
      <c r="J531" t="n">
        <v>0</v>
      </c>
      <c r="K531" t="n">
        <v>0</v>
      </c>
      <c r="L531" t="n">
        <v>0</v>
      </c>
      <c r="M531" t="n">
        <v>0</v>
      </c>
      <c r="N531" t="n">
        <v>0</v>
      </c>
      <c r="O531" t="n">
        <v>0</v>
      </c>
      <c r="P531" t="n">
        <v>0</v>
      </c>
      <c r="Q531" t="n">
        <v>0</v>
      </c>
      <c r="R531" s="2" t="inlineStr"/>
    </row>
    <row r="532" ht="15" customHeight="1">
      <c r="A532" t="inlineStr">
        <is>
          <t>A 8987-2025</t>
        </is>
      </c>
      <c r="B532" s="1" t="n">
        <v>45713</v>
      </c>
      <c r="C532" s="1" t="n">
        <v>45742</v>
      </c>
      <c r="D532" t="inlineStr">
        <is>
          <t>VÄSTERBOTTENS LÄN</t>
        </is>
      </c>
      <c r="E532" t="inlineStr">
        <is>
          <t>SORSELE</t>
        </is>
      </c>
      <c r="G532" t="n">
        <v>1.9</v>
      </c>
      <c r="H532" t="n">
        <v>0</v>
      </c>
      <c r="I532" t="n">
        <v>0</v>
      </c>
      <c r="J532" t="n">
        <v>0</v>
      </c>
      <c r="K532" t="n">
        <v>0</v>
      </c>
      <c r="L532" t="n">
        <v>0</v>
      </c>
      <c r="M532" t="n">
        <v>0</v>
      </c>
      <c r="N532" t="n">
        <v>0</v>
      </c>
      <c r="O532" t="n">
        <v>0</v>
      </c>
      <c r="P532" t="n">
        <v>0</v>
      </c>
      <c r="Q532" t="n">
        <v>0</v>
      </c>
      <c r="R532" s="2" t="inlineStr"/>
    </row>
    <row r="533" ht="15" customHeight="1">
      <c r="A533" t="inlineStr">
        <is>
          <t>A 9110-2025</t>
        </is>
      </c>
      <c r="B533" s="1" t="n">
        <v>45713</v>
      </c>
      <c r="C533" s="1" t="n">
        <v>45742</v>
      </c>
      <c r="D533" t="inlineStr">
        <is>
          <t>VÄSTERBOTTENS LÄN</t>
        </is>
      </c>
      <c r="E533" t="inlineStr">
        <is>
          <t>SORSELE</t>
        </is>
      </c>
      <c r="G533" t="n">
        <v>59.7</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45742</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10818-2025</t>
        </is>
      </c>
      <c r="B535" s="1" t="n">
        <v>45722</v>
      </c>
      <c r="C535" s="1" t="n">
        <v>45742</v>
      </c>
      <c r="D535" t="inlineStr">
        <is>
          <t>VÄSTERBOTTENS LÄN</t>
        </is>
      </c>
      <c r="E535" t="inlineStr">
        <is>
          <t>SORSELE</t>
        </is>
      </c>
      <c r="G535" t="n">
        <v>5.5</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45742</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10753-2025</t>
        </is>
      </c>
      <c r="B537" s="1" t="n">
        <v>45722</v>
      </c>
      <c r="C537" s="1" t="n">
        <v>45742</v>
      </c>
      <c r="D537" t="inlineStr">
        <is>
          <t>VÄSTERBOTTENS LÄN</t>
        </is>
      </c>
      <c r="E537" t="inlineStr">
        <is>
          <t>SORSELE</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45742</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45742</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45742</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45742</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45742</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45742</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c r="A544" t="inlineStr">
        <is>
          <t>A 12974-2025</t>
        </is>
      </c>
      <c r="B544" s="1" t="n">
        <v>45734</v>
      </c>
      <c r="C544" s="1" t="n">
        <v>45742</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2025-03-26T17:31:07Z</dcterms:created>
  <dcterms:modified xmlns:dcterms="http://purl.org/dc/terms/" xmlns:xsi="http://www.w3.org/2001/XMLSchema-instance" xsi:type="dcterms:W3CDTF">2025-03-26T17:31:08Z</dcterms:modified>
</cp:coreProperties>
</file>